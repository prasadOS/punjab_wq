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186D484-70F2-4D76-A88B-4CB709824D19}" xr6:coauthVersionLast="47" xr6:coauthVersionMax="47" xr10:uidLastSave="{00000000-0000-0000-0000-000000000000}"/>
  <bookViews>
    <workbookView xWindow="-108" yWindow="-108" windowWidth="23256" windowHeight="12456" tabRatio="689" xr2:uid="{00000000-000D-0000-FFFF-FFFF00000000}"/>
  </bookViews>
  <sheets>
    <sheet name="Sheet1" sheetId="11" r:id="rId1"/>
    <sheet name="Sheet2" sheetId="10" r:id="rId2"/>
  </sheets>
  <definedNames>
    <definedName name="_xlnm._FilterDatabase" localSheetId="0" hidden="1">Sheet1!$AM$1:$AN$1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1" l="1"/>
  <c r="E6" i="11"/>
  <c r="E5" i="11"/>
  <c r="E4" i="11"/>
</calcChain>
</file>

<file path=xl/sharedStrings.xml><?xml version="1.0" encoding="utf-8"?>
<sst xmlns="http://schemas.openxmlformats.org/spreadsheetml/2006/main" count="849" uniqueCount="162">
  <si>
    <t>mg/l</t>
  </si>
  <si>
    <t>Uranium</t>
  </si>
  <si>
    <t>Absent</t>
  </si>
  <si>
    <t>Test Parameter</t>
  </si>
  <si>
    <t>Colour</t>
  </si>
  <si>
    <t>Hazen Units</t>
  </si>
  <si>
    <t>Odor</t>
  </si>
  <si>
    <t>Agreeable</t>
  </si>
  <si>
    <t>-</t>
  </si>
  <si>
    <t>pH</t>
  </si>
  <si>
    <t>6.5-8.5</t>
  </si>
  <si>
    <t>No relaxation</t>
  </si>
  <si>
    <t>Taste</t>
  </si>
  <si>
    <t>Turbidity</t>
  </si>
  <si>
    <t>NTU</t>
  </si>
  <si>
    <t>Residual Free Chlorine</t>
  </si>
  <si>
    <t>Min.0.2</t>
  </si>
  <si>
    <t>Min1</t>
  </si>
  <si>
    <t>Phenolic Compounds</t>
  </si>
  <si>
    <t>&lt;0.01</t>
  </si>
  <si>
    <t>E. Coli</t>
  </si>
  <si>
    <t>/100ml</t>
  </si>
  <si>
    <t>Coliform</t>
  </si>
  <si>
    <t>Present</t>
  </si>
  <si>
    <t>Borewell</t>
  </si>
  <si>
    <t>Canal Water</t>
  </si>
  <si>
    <t>Sample Code</t>
  </si>
  <si>
    <t>Depth</t>
  </si>
  <si>
    <t>100 ft</t>
  </si>
  <si>
    <t>80 ft</t>
  </si>
  <si>
    <t>110 ft</t>
  </si>
  <si>
    <t>60 to 70 ft</t>
  </si>
  <si>
    <t>60 ft</t>
  </si>
  <si>
    <t>50 ft</t>
  </si>
  <si>
    <t>70 ft</t>
  </si>
  <si>
    <t>150 ft</t>
  </si>
  <si>
    <t>50 to 60 feet</t>
  </si>
  <si>
    <t>35 Ft</t>
  </si>
  <si>
    <t>42 ft</t>
  </si>
  <si>
    <t>20 ft</t>
  </si>
  <si>
    <t>25 ft</t>
  </si>
  <si>
    <t>40 ft</t>
  </si>
  <si>
    <t>180 ft</t>
  </si>
  <si>
    <t>140 ft</t>
  </si>
  <si>
    <t>30 to 40 ft</t>
  </si>
  <si>
    <t>EKA2-25-11-02924</t>
  </si>
  <si>
    <t>EKA2-25-11-02926</t>
  </si>
  <si>
    <t>EKA2-25-11-02927</t>
  </si>
  <si>
    <t>EKA2-25-11-02928</t>
  </si>
  <si>
    <t>EKA2-25-11-02929</t>
  </si>
  <si>
    <t>EKA2-25-11-02930</t>
  </si>
  <si>
    <t>EKA2-25-11-02931</t>
  </si>
  <si>
    <t>EKA2-25-11-02932</t>
  </si>
  <si>
    <t>EKA2-25-11-02933</t>
  </si>
  <si>
    <t>EKA2-25-11-02934</t>
  </si>
  <si>
    <t>EKA2-25-11-02935</t>
  </si>
  <si>
    <t>EKA2-25-11-02936</t>
  </si>
  <si>
    <t>EKA2-25-11-02937</t>
  </si>
  <si>
    <t>EKA2-25-11-02938</t>
  </si>
  <si>
    <t>EKA2-25-11-02939</t>
  </si>
  <si>
    <t>EKA2-25-11-02940</t>
  </si>
  <si>
    <t>EKA2-25-11-02941</t>
  </si>
  <si>
    <t>EKA2-25-11-02942</t>
  </si>
  <si>
    <t>EKA2-25-11-02943</t>
  </si>
  <si>
    <t>EKA2-25-11-02944</t>
  </si>
  <si>
    <t>EKA2-25-11-02945</t>
  </si>
  <si>
    <t>EKA2-25-11-02946</t>
  </si>
  <si>
    <t>EKA2-25-11-02947</t>
  </si>
  <si>
    <t>EKA2-25-11-02948</t>
  </si>
  <si>
    <t>EKA2-25-11-02950</t>
  </si>
  <si>
    <t>EKA2-25-11-02951</t>
  </si>
  <si>
    <t>EKA2-25-11-02952</t>
  </si>
  <si>
    <t>EKA2-25-11-02954</t>
  </si>
  <si>
    <t>EKA2-25-11-02955</t>
  </si>
  <si>
    <t>EKA2-25-11-02957</t>
  </si>
  <si>
    <t>EKA2-25-11-02958</t>
  </si>
  <si>
    <t>EKA2-25-11-02959</t>
  </si>
  <si>
    <t>EKA2-25-11-02960</t>
  </si>
  <si>
    <t>EKA2-25-11-02961</t>
  </si>
  <si>
    <t>EKA2-25-11-02962</t>
  </si>
  <si>
    <t>EKA2-25-11-02963</t>
  </si>
  <si>
    <t>EKA2-25-11-02964</t>
  </si>
  <si>
    <t>&lt;1.0</t>
  </si>
  <si>
    <t>&lt;0.2</t>
  </si>
  <si>
    <t>&lt;0.1</t>
  </si>
  <si>
    <t>&lt;0.001</t>
  </si>
  <si>
    <t>&lt;0.05</t>
  </si>
  <si>
    <t>Village Name</t>
  </si>
  <si>
    <t>Source</t>
  </si>
  <si>
    <t>School</t>
  </si>
  <si>
    <t>Household</t>
  </si>
  <si>
    <t>Handpump</t>
  </si>
  <si>
    <t>Community</t>
  </si>
  <si>
    <t>WTP</t>
  </si>
  <si>
    <t>Main Road</t>
  </si>
  <si>
    <t>Along the Canal</t>
  </si>
  <si>
    <t>Gurudwara</t>
  </si>
  <si>
    <t>Treated RO Water</t>
  </si>
  <si>
    <t>Community RO</t>
  </si>
  <si>
    <t>Unit of Measure</t>
  </si>
  <si>
    <t>Location within Village</t>
  </si>
  <si>
    <t>Sample Sl. No.</t>
  </si>
  <si>
    <t>Parameter Sl. No.</t>
  </si>
  <si>
    <t>30 ft</t>
  </si>
  <si>
    <t>Do people drink this water?</t>
  </si>
  <si>
    <t>If Yes or Maybe, approx. % of people</t>
  </si>
  <si>
    <t>No</t>
  </si>
  <si>
    <t>Maybe</t>
  </si>
  <si>
    <t>NA</t>
  </si>
  <si>
    <t>Yes</t>
  </si>
  <si>
    <t>Acceptable Limit</t>
  </si>
  <si>
    <t>Permissible Limit</t>
  </si>
  <si>
    <t>Ammonia</t>
  </si>
  <si>
    <t>Anionic detergents</t>
  </si>
  <si>
    <t>Calcium</t>
  </si>
  <si>
    <t>Chloramines</t>
  </si>
  <si>
    <t>Chloride</t>
  </si>
  <si>
    <t>Fluoride</t>
  </si>
  <si>
    <t>Magnesium</t>
  </si>
  <si>
    <t>Sulphate</t>
  </si>
  <si>
    <t>Sulphide</t>
  </si>
  <si>
    <t>Total Alkalinity</t>
  </si>
  <si>
    <t>Total Hardness</t>
  </si>
  <si>
    <t>Barium</t>
  </si>
  <si>
    <t>Boron</t>
  </si>
  <si>
    <t>Copper</t>
  </si>
  <si>
    <t>Iron</t>
  </si>
  <si>
    <t>Manganese</t>
  </si>
  <si>
    <t>Selenium</t>
  </si>
  <si>
    <t>Silver</t>
  </si>
  <si>
    <t>Zinc</t>
  </si>
  <si>
    <t>Cyanide</t>
  </si>
  <si>
    <t>Cadmium</t>
  </si>
  <si>
    <t>Lead</t>
  </si>
  <si>
    <t>Mercury</t>
  </si>
  <si>
    <t>Molybdenum</t>
  </si>
  <si>
    <t>Nickel</t>
  </si>
  <si>
    <t xml:space="preserve">Total Arsenic </t>
  </si>
  <si>
    <t>Total Chromium</t>
  </si>
  <si>
    <t>TDS</t>
  </si>
  <si>
    <t>Aluminum</t>
  </si>
  <si>
    <t>Nitrate</t>
  </si>
  <si>
    <t>Latitude</t>
  </si>
  <si>
    <t>Longitude</t>
  </si>
  <si>
    <t>30. 63163</t>
  </si>
  <si>
    <t>Cluster</t>
  </si>
  <si>
    <t>Cluster-1</t>
  </si>
  <si>
    <t>Cluster-2</t>
  </si>
  <si>
    <t>Cluster-3</t>
  </si>
  <si>
    <t>Village-1</t>
  </si>
  <si>
    <t>Village-2</t>
  </si>
  <si>
    <t>Village-3</t>
  </si>
  <si>
    <t>Village-4</t>
  </si>
  <si>
    <t>Village-5</t>
  </si>
  <si>
    <t>Village-6</t>
  </si>
  <si>
    <t>Village-7</t>
  </si>
  <si>
    <t>Village-8</t>
  </si>
  <si>
    <t>Village-9</t>
  </si>
  <si>
    <t>Village-10</t>
  </si>
  <si>
    <t>Village-11</t>
  </si>
  <si>
    <t>Village-12</t>
  </si>
  <si>
    <t>Village-13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</si>
</sst>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0" fontId="14" fillId="33" borderId="10" xfId="0" applyFont="1" applyFill="1" applyBorder="1" applyAlignment="1">
      <alignment horizontal="center" vertical="center" wrapText="1"/>
    </xf>
    <xf numFmtId="0" fontId="1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64" fontId="22" fillId="36" borderId="10" xfId="0" applyNumberFormat="1" applyFont="1" applyFill="1" applyBorder="1" applyAlignment="1">
      <alignment horizontal="center" vertical="center"/>
    </xf>
    <xf numFmtId="165" fontId="22" fillId="36" borderId="10" xfId="0" applyNumberFormat="1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/>
    </xf>
    <xf numFmtId="164" fontId="22" fillId="38" borderId="10" xfId="0" applyNumberFormat="1" applyFont="1" applyFill="1" applyBorder="1" applyAlignment="1">
      <alignment horizontal="center" vertical="center"/>
    </xf>
    <xf numFmtId="164" fontId="22" fillId="39" borderId="10" xfId="0" applyNumberFormat="1" applyFont="1" applyFill="1" applyBorder="1" applyAlignment="1">
      <alignment horizontal="center" vertical="center"/>
    </xf>
    <xf numFmtId="165" fontId="22" fillId="39" borderId="10" xfId="0" applyNumberFormat="1" applyFont="1" applyFill="1" applyBorder="1" applyAlignment="1">
      <alignment horizontal="center" vertical="center"/>
    </xf>
    <xf numFmtId="165" fontId="22" fillId="38" borderId="10" xfId="0" applyNumberFormat="1" applyFont="1" applyFill="1" applyBorder="1" applyAlignment="1">
      <alignment horizontal="center" vertical="center"/>
    </xf>
    <xf numFmtId="164" fontId="22" fillId="0" borderId="10" xfId="0" applyNumberFormat="1" applyFont="1" applyBorder="1" applyAlignment="1">
      <alignment horizontal="center" vertical="center"/>
    </xf>
    <xf numFmtId="0" fontId="0" fillId="37" borderId="10" xfId="0" applyFill="1" applyBorder="1" applyAlignment="1">
      <alignment horizontal="center" vertical="center" wrapText="1"/>
    </xf>
    <xf numFmtId="0" fontId="14" fillId="33" borderId="1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9" fontId="1" fillId="34" borderId="10" xfId="0" applyNumberFormat="1" applyFont="1" applyFill="1" applyBorder="1" applyAlignment="1">
      <alignment horizontal="center" vertical="center" wrapText="1"/>
    </xf>
    <xf numFmtId="0" fontId="1" fillId="40" borderId="10" xfId="0" applyFont="1" applyFill="1" applyBorder="1" applyAlignment="1">
      <alignment horizontal="center" vertical="center" wrapText="1"/>
    </xf>
    <xf numFmtId="0" fontId="20" fillId="40" borderId="10" xfId="0" applyFont="1" applyFill="1" applyBorder="1" applyAlignment="1">
      <alignment horizontal="center" vertical="center"/>
    </xf>
    <xf numFmtId="164" fontId="22" fillId="41" borderId="10" xfId="0" applyNumberFormat="1" applyFont="1" applyFill="1" applyBorder="1" applyAlignment="1">
      <alignment horizontal="center" vertical="center"/>
    </xf>
    <xf numFmtId="165" fontId="22" fillId="41" borderId="10" xfId="0" applyNumberFormat="1" applyFont="1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 wrapText="1"/>
    </xf>
    <xf numFmtId="0" fontId="0" fillId="40" borderId="0" xfId="0" applyFill="1"/>
    <xf numFmtId="9" fontId="1" fillId="40" borderId="10" xfId="0" applyNumberFormat="1" applyFont="1" applyFill="1" applyBorder="1" applyAlignment="1">
      <alignment horizontal="center" vertical="center" wrapText="1"/>
    </xf>
    <xf numFmtId="0" fontId="1" fillId="42" borderId="10" xfId="0" applyFont="1" applyFill="1" applyBorder="1" applyAlignment="1">
      <alignment horizontal="center" vertical="center" wrapText="1"/>
    </xf>
    <xf numFmtId="0" fontId="0" fillId="42" borderId="10" xfId="0" applyFill="1" applyBorder="1"/>
    <xf numFmtId="0" fontId="0" fillId="42" borderId="10" xfId="0" applyFill="1" applyBorder="1" applyAlignment="1">
      <alignment horizontal="right"/>
    </xf>
    <xf numFmtId="0" fontId="0" fillId="35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left" vertical="center" wrapText="1"/>
    </xf>
    <xf numFmtId="0" fontId="21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FEBE8"/>
      <color rgb="FFF0F0F0"/>
      <color rgb="FFCDEA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46BA-C05F-4116-AE0C-3E7AF8536D2D}">
  <dimension ref="A1:AN38"/>
  <sheetViews>
    <sheetView tabSelected="1" zoomScale="115" zoomScaleNormal="115" workbookViewId="0">
      <pane ySplit="1" topLeftCell="A2" activePane="bottomLeft" state="frozen"/>
      <selection pane="bottomLeft" activeCell="B22" sqref="B22"/>
    </sheetView>
  </sheetViews>
  <sheetFormatPr defaultRowHeight="14.4" x14ac:dyDescent="0.3"/>
  <cols>
    <col min="1" max="1" width="6.88671875" bestFit="1" customWidth="1"/>
    <col min="2" max="2" width="16.33203125" customWidth="1"/>
    <col min="3" max="3" width="14" bestFit="1" customWidth="1"/>
    <col min="4" max="4" width="18.88671875" customWidth="1"/>
    <col min="5" max="5" width="18.33203125" customWidth="1"/>
    <col min="6" max="6" width="32" customWidth="1"/>
    <col min="7" max="8" width="9.6640625" bestFit="1" customWidth="1"/>
    <col min="9" max="9" width="7.5546875" bestFit="1" customWidth="1"/>
    <col min="11" max="11" width="7.5546875" bestFit="1" customWidth="1"/>
    <col min="12" max="12" width="8.33203125" bestFit="1" customWidth="1"/>
    <col min="14" max="14" width="7.88671875" bestFit="1" customWidth="1"/>
    <col min="15" max="15" width="8.109375" bestFit="1" customWidth="1"/>
    <col min="16" max="18" width="7.6640625" bestFit="1" customWidth="1"/>
    <col min="19" max="19" width="6.6640625" bestFit="1" customWidth="1"/>
    <col min="20" max="20" width="8.109375" bestFit="1" customWidth="1"/>
    <col min="21" max="21" width="8" bestFit="1" customWidth="1"/>
    <col min="22" max="23" width="8.6640625" bestFit="1" customWidth="1"/>
    <col min="24" max="24" width="7.6640625" bestFit="1" customWidth="1"/>
    <col min="25" max="25" width="6.6640625" bestFit="1" customWidth="1"/>
    <col min="26" max="26" width="8.33203125" bestFit="1" customWidth="1"/>
    <col min="27" max="27" width="6.88671875" bestFit="1" customWidth="1"/>
    <col min="28" max="28" width="6.5546875" bestFit="1" customWidth="1"/>
    <col min="29" max="29" width="8.6640625" bestFit="1" customWidth="1"/>
    <col min="30" max="30" width="8.44140625" bestFit="1" customWidth="1"/>
    <col min="31" max="31" width="7.5546875" bestFit="1" customWidth="1"/>
    <col min="32" max="32" width="6.33203125" bestFit="1" customWidth="1"/>
    <col min="33" max="33" width="8.109375" bestFit="1" customWidth="1"/>
    <col min="34" max="34" width="7" bestFit="1" customWidth="1"/>
    <col min="35" max="35" width="8.33203125" bestFit="1" customWidth="1"/>
    <col min="36" max="36" width="8" bestFit="1" customWidth="1"/>
    <col min="37" max="37" width="6.88671875" bestFit="1" customWidth="1"/>
    <col min="38" max="38" width="8" bestFit="1" customWidth="1"/>
    <col min="39" max="39" width="8.44140625" bestFit="1" customWidth="1"/>
    <col min="40" max="40" width="8" bestFit="1" customWidth="1"/>
  </cols>
  <sheetData>
    <row r="1" spans="1:40" ht="86.4" x14ac:dyDescent="0.3">
      <c r="A1" s="2" t="s">
        <v>101</v>
      </c>
      <c r="B1" s="2" t="s">
        <v>145</v>
      </c>
      <c r="C1" s="2" t="s">
        <v>87</v>
      </c>
      <c r="D1" s="2" t="s">
        <v>100</v>
      </c>
      <c r="E1" s="2" t="s">
        <v>88</v>
      </c>
      <c r="F1" s="2" t="s">
        <v>26</v>
      </c>
      <c r="G1" s="29" t="s">
        <v>142</v>
      </c>
      <c r="H1" s="29" t="s">
        <v>143</v>
      </c>
      <c r="I1" s="2" t="s">
        <v>27</v>
      </c>
      <c r="J1" s="2" t="s">
        <v>104</v>
      </c>
      <c r="K1" s="2" t="s">
        <v>105</v>
      </c>
      <c r="L1" s="5" t="s">
        <v>13</v>
      </c>
      <c r="M1" s="5" t="s">
        <v>139</v>
      </c>
      <c r="N1" s="5" t="s">
        <v>112</v>
      </c>
      <c r="O1" s="5" t="s">
        <v>114</v>
      </c>
      <c r="P1" s="5" t="s">
        <v>116</v>
      </c>
      <c r="Q1" s="5" t="s">
        <v>117</v>
      </c>
      <c r="R1" s="5" t="s">
        <v>118</v>
      </c>
      <c r="S1" s="5" t="s">
        <v>141</v>
      </c>
      <c r="T1" s="5" t="s">
        <v>119</v>
      </c>
      <c r="U1" s="5" t="s">
        <v>120</v>
      </c>
      <c r="V1" s="5" t="s">
        <v>121</v>
      </c>
      <c r="W1" s="5" t="s">
        <v>122</v>
      </c>
      <c r="X1" s="5" t="s">
        <v>140</v>
      </c>
      <c r="Y1" s="5" t="s">
        <v>123</v>
      </c>
      <c r="Z1" s="5" t="s">
        <v>124</v>
      </c>
      <c r="AA1" s="5" t="s">
        <v>125</v>
      </c>
      <c r="AB1" s="5" t="s">
        <v>126</v>
      </c>
      <c r="AC1" s="5" t="s">
        <v>127</v>
      </c>
      <c r="AD1" s="5" t="s">
        <v>128</v>
      </c>
      <c r="AE1" s="5" t="s">
        <v>129</v>
      </c>
      <c r="AF1" s="5" t="s">
        <v>130</v>
      </c>
      <c r="AG1" s="5" t="s">
        <v>1</v>
      </c>
      <c r="AH1" s="5" t="s">
        <v>133</v>
      </c>
      <c r="AI1" s="5" t="s">
        <v>135</v>
      </c>
      <c r="AJ1" s="5" t="s">
        <v>136</v>
      </c>
      <c r="AK1" s="5" t="s">
        <v>137</v>
      </c>
      <c r="AL1" s="5" t="s">
        <v>138</v>
      </c>
      <c r="AM1" s="5" t="s">
        <v>20</v>
      </c>
      <c r="AN1" s="5" t="s">
        <v>22</v>
      </c>
    </row>
    <row r="2" spans="1:40" x14ac:dyDescent="0.3">
      <c r="A2" s="2">
        <v>1</v>
      </c>
      <c r="B2" s="2" t="s">
        <v>146</v>
      </c>
      <c r="C2" s="2" t="s">
        <v>149</v>
      </c>
      <c r="D2" s="2" t="s">
        <v>89</v>
      </c>
      <c r="E2" s="2" t="s">
        <v>24</v>
      </c>
      <c r="F2" s="2" t="s">
        <v>45</v>
      </c>
      <c r="G2" s="30">
        <v>30.439498</v>
      </c>
      <c r="H2" s="30">
        <v>74.665831999999995</v>
      </c>
      <c r="I2" s="2" t="s">
        <v>28</v>
      </c>
      <c r="J2" s="2" t="s">
        <v>106</v>
      </c>
      <c r="K2" s="21" t="s">
        <v>108</v>
      </c>
      <c r="L2" s="8" t="s">
        <v>82</v>
      </c>
      <c r="M2" s="11">
        <v>512</v>
      </c>
      <c r="N2" s="8" t="s">
        <v>83</v>
      </c>
      <c r="O2" s="9">
        <v>52.74</v>
      </c>
      <c r="P2" s="8">
        <v>69.5</v>
      </c>
      <c r="Q2" s="8">
        <v>0.23</v>
      </c>
      <c r="R2" s="13">
        <v>42.61</v>
      </c>
      <c r="S2" s="8">
        <v>29.4</v>
      </c>
      <c r="T2" s="8">
        <v>102.3</v>
      </c>
      <c r="U2" s="8" t="s">
        <v>86</v>
      </c>
      <c r="V2" s="11">
        <v>232</v>
      </c>
      <c r="W2" s="11">
        <v>277.2</v>
      </c>
      <c r="X2" s="10">
        <v>2.0139999999999997E-3</v>
      </c>
      <c r="Y2" s="9">
        <v>0.10873599999999999</v>
      </c>
      <c r="Z2" s="9">
        <v>0.35175499999999998</v>
      </c>
      <c r="AA2" s="9" t="s">
        <v>85</v>
      </c>
      <c r="AB2" s="9">
        <v>3.5758000000000005E-2</v>
      </c>
      <c r="AC2" s="9" t="s">
        <v>85</v>
      </c>
      <c r="AD2" s="9" t="s">
        <v>85</v>
      </c>
      <c r="AE2" s="9" t="s">
        <v>85</v>
      </c>
      <c r="AF2" s="9" t="s">
        <v>19</v>
      </c>
      <c r="AG2" s="9">
        <v>2.4055999999999998E-2</v>
      </c>
      <c r="AH2" s="9" t="s">
        <v>85</v>
      </c>
      <c r="AI2" s="10">
        <v>1.4599999999999999E-3</v>
      </c>
      <c r="AJ2" s="9" t="s">
        <v>85</v>
      </c>
      <c r="AK2" s="9" t="s">
        <v>85</v>
      </c>
      <c r="AL2" s="10">
        <v>1.8630000000000001E-3</v>
      </c>
      <c r="AM2" s="4" t="s">
        <v>2</v>
      </c>
      <c r="AN2" s="4" t="s">
        <v>2</v>
      </c>
    </row>
    <row r="3" spans="1:40" x14ac:dyDescent="0.3">
      <c r="A3" s="2">
        <v>2</v>
      </c>
      <c r="B3" s="2" t="s">
        <v>146</v>
      </c>
      <c r="C3" s="2" t="s">
        <v>149</v>
      </c>
      <c r="D3" s="2" t="s">
        <v>90</v>
      </c>
      <c r="E3" s="2" t="s">
        <v>91</v>
      </c>
      <c r="F3" s="2" t="s">
        <v>46</v>
      </c>
      <c r="G3" s="30">
        <v>30.444592</v>
      </c>
      <c r="H3" s="30">
        <v>74.666487000000004</v>
      </c>
      <c r="I3" s="2" t="s">
        <v>29</v>
      </c>
      <c r="J3" s="2" t="s">
        <v>107</v>
      </c>
      <c r="K3" s="21">
        <v>0.2</v>
      </c>
      <c r="L3" s="11">
        <v>1.4</v>
      </c>
      <c r="M3" s="11">
        <v>990</v>
      </c>
      <c r="N3" s="8" t="s">
        <v>83</v>
      </c>
      <c r="O3" s="9">
        <v>8.3640000000000008</v>
      </c>
      <c r="P3" s="8">
        <v>84.4</v>
      </c>
      <c r="Q3" s="8">
        <v>0.62</v>
      </c>
      <c r="R3" s="9">
        <v>10.342000000000001</v>
      </c>
      <c r="S3" s="12">
        <v>56.4</v>
      </c>
      <c r="T3" s="8">
        <v>170.2</v>
      </c>
      <c r="U3" s="8" t="s">
        <v>86</v>
      </c>
      <c r="V3" s="11">
        <v>423.4</v>
      </c>
      <c r="W3" s="8">
        <v>77.22</v>
      </c>
      <c r="X3" s="13">
        <v>0.13606100000000002</v>
      </c>
      <c r="Y3" s="9">
        <v>2.1828E-2</v>
      </c>
      <c r="Z3" s="14">
        <v>1.048</v>
      </c>
      <c r="AA3" s="9" t="s">
        <v>85</v>
      </c>
      <c r="AB3" s="9">
        <v>5.7939999999999997E-3</v>
      </c>
      <c r="AC3" s="9" t="s">
        <v>85</v>
      </c>
      <c r="AD3" s="10">
        <v>1.09E-3</v>
      </c>
      <c r="AE3" s="9" t="s">
        <v>85</v>
      </c>
      <c r="AF3" s="9" t="s">
        <v>19</v>
      </c>
      <c r="AG3" s="14">
        <v>6.908099999999999E-2</v>
      </c>
      <c r="AH3" s="9" t="s">
        <v>85</v>
      </c>
      <c r="AI3" s="10">
        <v>3.1118000000000003E-2</v>
      </c>
      <c r="AJ3" s="9" t="s">
        <v>85</v>
      </c>
      <c r="AK3" s="10">
        <v>4.2690000000000002E-3</v>
      </c>
      <c r="AL3" s="10">
        <v>6.0469999999999994E-3</v>
      </c>
      <c r="AM3" s="4" t="s">
        <v>2</v>
      </c>
      <c r="AN3" s="4" t="s">
        <v>2</v>
      </c>
    </row>
    <row r="4" spans="1:40" x14ac:dyDescent="0.3">
      <c r="A4" s="2">
        <v>3</v>
      </c>
      <c r="B4" s="2" t="s">
        <v>146</v>
      </c>
      <c r="C4" s="2" t="s">
        <v>149</v>
      </c>
      <c r="D4" s="2" t="s">
        <v>90</v>
      </c>
      <c r="E4" s="2" t="str">
        <f>$E$2</f>
        <v>Borewell</v>
      </c>
      <c r="F4" s="2" t="s">
        <v>47</v>
      </c>
      <c r="G4" s="30">
        <v>30.44107</v>
      </c>
      <c r="H4" s="30">
        <v>74.663357000000005</v>
      </c>
      <c r="I4" s="2" t="s">
        <v>30</v>
      </c>
      <c r="J4" s="2" t="s">
        <v>106</v>
      </c>
      <c r="K4" s="2" t="s">
        <v>108</v>
      </c>
      <c r="L4" s="8" t="s">
        <v>82</v>
      </c>
      <c r="M4" s="11">
        <v>1110</v>
      </c>
      <c r="N4" s="8" t="s">
        <v>83</v>
      </c>
      <c r="O4" s="9">
        <v>31.269999999999996</v>
      </c>
      <c r="P4" s="8">
        <v>139</v>
      </c>
      <c r="Q4" s="8">
        <v>0.34</v>
      </c>
      <c r="R4" s="13">
        <v>32.629999999999995</v>
      </c>
      <c r="S4" s="12">
        <v>62.4</v>
      </c>
      <c r="T4" s="8">
        <v>164.8</v>
      </c>
      <c r="U4" s="8" t="s">
        <v>86</v>
      </c>
      <c r="V4" s="11">
        <v>353.8</v>
      </c>
      <c r="W4" s="11">
        <v>297</v>
      </c>
      <c r="X4" s="9">
        <v>9.9950000000000004E-3</v>
      </c>
      <c r="Y4" s="9">
        <v>3.2901000000000007E-2</v>
      </c>
      <c r="Z4" s="13">
        <v>0.92</v>
      </c>
      <c r="AA4" s="9" t="s">
        <v>85</v>
      </c>
      <c r="AB4" s="9">
        <v>1.8567E-2</v>
      </c>
      <c r="AC4" s="9" t="s">
        <v>85</v>
      </c>
      <c r="AD4" s="10">
        <v>1.902E-3</v>
      </c>
      <c r="AE4" s="9" t="s">
        <v>85</v>
      </c>
      <c r="AF4" s="9" t="s">
        <v>19</v>
      </c>
      <c r="AG4" s="9">
        <v>3.1407999999999998E-2</v>
      </c>
      <c r="AH4" s="9" t="s">
        <v>85</v>
      </c>
      <c r="AI4" s="10">
        <v>1.8072999999999999E-2</v>
      </c>
      <c r="AJ4" s="9" t="s">
        <v>85</v>
      </c>
      <c r="AK4" s="10">
        <v>1.5460000000000001E-3</v>
      </c>
      <c r="AL4" s="10">
        <v>5.1180000000000002E-3</v>
      </c>
      <c r="AM4" s="4" t="s">
        <v>2</v>
      </c>
      <c r="AN4" s="4" t="s">
        <v>2</v>
      </c>
    </row>
    <row r="5" spans="1:40" x14ac:dyDescent="0.3">
      <c r="A5" s="2">
        <v>4</v>
      </c>
      <c r="B5" s="2" t="s">
        <v>146</v>
      </c>
      <c r="C5" s="2" t="s">
        <v>150</v>
      </c>
      <c r="D5" s="2" t="s">
        <v>89</v>
      </c>
      <c r="E5" s="2" t="str">
        <f>$E$2</f>
        <v>Borewell</v>
      </c>
      <c r="F5" s="2" t="s">
        <v>48</v>
      </c>
      <c r="G5" s="30">
        <v>30.468722</v>
      </c>
      <c r="H5" s="30">
        <v>74.645133000000001</v>
      </c>
      <c r="I5" s="2" t="s">
        <v>29</v>
      </c>
      <c r="J5" s="2" t="s">
        <v>106</v>
      </c>
      <c r="K5" s="2" t="s">
        <v>108</v>
      </c>
      <c r="L5" s="8" t="s">
        <v>82</v>
      </c>
      <c r="M5" s="11">
        <v>1228</v>
      </c>
      <c r="N5" s="8" t="s">
        <v>83</v>
      </c>
      <c r="O5" s="9">
        <v>45.26</v>
      </c>
      <c r="P5" s="8">
        <v>153.9</v>
      </c>
      <c r="Q5" s="8">
        <v>0.35</v>
      </c>
      <c r="R5" s="13">
        <v>59.050000000000004</v>
      </c>
      <c r="S5" s="12">
        <v>66.8</v>
      </c>
      <c r="T5" s="11">
        <v>377.8</v>
      </c>
      <c r="U5" s="8" t="s">
        <v>86</v>
      </c>
      <c r="V5" s="11">
        <v>371.2</v>
      </c>
      <c r="W5" s="11">
        <v>306.89999999999998</v>
      </c>
      <c r="X5" s="9">
        <v>1.9140000000000001E-3</v>
      </c>
      <c r="Y5" s="9">
        <v>2.0607999999999998E-2</v>
      </c>
      <c r="Z5" s="14">
        <v>1.216</v>
      </c>
      <c r="AA5" s="9" t="s">
        <v>85</v>
      </c>
      <c r="AB5" s="9">
        <v>2.6821000000000001E-2</v>
      </c>
      <c r="AC5" s="9" t="s">
        <v>85</v>
      </c>
      <c r="AD5" s="10">
        <v>2.0890000000000001E-3</v>
      </c>
      <c r="AE5" s="9" t="s">
        <v>85</v>
      </c>
      <c r="AF5" s="9" t="s">
        <v>19</v>
      </c>
      <c r="AG5" s="14">
        <v>4.8583000000000008E-2</v>
      </c>
      <c r="AH5" s="9" t="s">
        <v>85</v>
      </c>
      <c r="AI5" s="10">
        <v>4.8169999999999998E-2</v>
      </c>
      <c r="AJ5" s="9" t="s">
        <v>85</v>
      </c>
      <c r="AK5" s="10">
        <v>1.3060000000000001E-3</v>
      </c>
      <c r="AL5" s="10">
        <v>6.489E-3</v>
      </c>
      <c r="AM5" s="4" t="s">
        <v>2</v>
      </c>
      <c r="AN5" s="4" t="s">
        <v>2</v>
      </c>
    </row>
    <row r="6" spans="1:40" ht="28.8" x14ac:dyDescent="0.3">
      <c r="A6" s="2">
        <v>5</v>
      </c>
      <c r="B6" s="2" t="s">
        <v>146</v>
      </c>
      <c r="C6" s="2" t="s">
        <v>150</v>
      </c>
      <c r="D6" s="2" t="s">
        <v>89</v>
      </c>
      <c r="E6" s="2" t="str">
        <f>$E$2</f>
        <v>Borewell</v>
      </c>
      <c r="F6" s="2" t="s">
        <v>49</v>
      </c>
      <c r="G6" s="30">
        <v>30.468689999999999</v>
      </c>
      <c r="H6" s="30">
        <v>74.645106999999996</v>
      </c>
      <c r="I6" s="2" t="s">
        <v>31</v>
      </c>
      <c r="J6" s="2" t="s">
        <v>106</v>
      </c>
      <c r="K6" s="2" t="s">
        <v>108</v>
      </c>
      <c r="L6" s="8" t="s">
        <v>82</v>
      </c>
      <c r="M6" s="11">
        <v>1610</v>
      </c>
      <c r="N6" s="8" t="s">
        <v>83</v>
      </c>
      <c r="O6" s="13">
        <v>118.52000000000001</v>
      </c>
      <c r="P6" s="8">
        <v>218.4</v>
      </c>
      <c r="Q6" s="8">
        <v>0.16</v>
      </c>
      <c r="R6" s="13">
        <v>53.129999999999995</v>
      </c>
      <c r="S6" s="12">
        <v>76.8</v>
      </c>
      <c r="T6" s="12">
        <v>505</v>
      </c>
      <c r="U6" s="8" t="s">
        <v>86</v>
      </c>
      <c r="V6" s="11">
        <v>585.79999999999995</v>
      </c>
      <c r="W6" s="11">
        <v>514.79999999999995</v>
      </c>
      <c r="X6" s="9">
        <v>1.2590000000000001E-3</v>
      </c>
      <c r="Y6" s="9">
        <v>2.1529E-2</v>
      </c>
      <c r="Z6" s="14">
        <v>1.262</v>
      </c>
      <c r="AA6" s="9" t="s">
        <v>85</v>
      </c>
      <c r="AB6" s="9">
        <v>8.4616999999999998E-2</v>
      </c>
      <c r="AC6" s="10">
        <v>6.6727000000000009E-2</v>
      </c>
      <c r="AD6" s="10">
        <v>1.421E-3</v>
      </c>
      <c r="AE6" s="9" t="s">
        <v>85</v>
      </c>
      <c r="AF6" s="9">
        <v>2.9013999999999998E-2</v>
      </c>
      <c r="AG6" s="9">
        <v>2.0579999999999999E-3</v>
      </c>
      <c r="AH6" s="9" t="s">
        <v>85</v>
      </c>
      <c r="AI6" s="10">
        <v>3.5040000000000006E-3</v>
      </c>
      <c r="AJ6" s="9" t="s">
        <v>85</v>
      </c>
      <c r="AK6" s="9" t="s">
        <v>85</v>
      </c>
      <c r="AL6" s="9" t="s">
        <v>85</v>
      </c>
      <c r="AM6" s="4" t="s">
        <v>2</v>
      </c>
      <c r="AN6" s="4" t="s">
        <v>2</v>
      </c>
    </row>
    <row r="7" spans="1:40" x14ac:dyDescent="0.3">
      <c r="A7" s="2">
        <v>6</v>
      </c>
      <c r="B7" s="2" t="s">
        <v>146</v>
      </c>
      <c r="C7" s="2" t="s">
        <v>150</v>
      </c>
      <c r="D7" s="2" t="s">
        <v>92</v>
      </c>
      <c r="E7" s="2" t="s">
        <v>91</v>
      </c>
      <c r="F7" s="2" t="s">
        <v>50</v>
      </c>
      <c r="G7" s="30">
        <v>30.464662000000001</v>
      </c>
      <c r="H7" s="30">
        <v>74.653632000000002</v>
      </c>
      <c r="I7" s="2" t="s">
        <v>32</v>
      </c>
      <c r="J7" s="2" t="s">
        <v>107</v>
      </c>
      <c r="K7" s="21">
        <v>0.2</v>
      </c>
      <c r="L7" s="8" t="s">
        <v>82</v>
      </c>
      <c r="M7" s="12">
        <v>3232</v>
      </c>
      <c r="N7" s="8" t="s">
        <v>83</v>
      </c>
      <c r="O7" s="13">
        <v>107.47999999999999</v>
      </c>
      <c r="P7" s="11">
        <v>575.70000000000005</v>
      </c>
      <c r="Q7" s="8">
        <v>0.38</v>
      </c>
      <c r="R7" s="14">
        <v>133.71</v>
      </c>
      <c r="S7" s="12">
        <v>236.4</v>
      </c>
      <c r="T7" s="12">
        <v>1314.2</v>
      </c>
      <c r="U7" s="8" t="s">
        <v>86</v>
      </c>
      <c r="V7" s="12">
        <v>609</v>
      </c>
      <c r="W7" s="12">
        <v>841.5</v>
      </c>
      <c r="X7" s="9">
        <v>1.735E-3</v>
      </c>
      <c r="Y7" s="9">
        <v>1.0631999999999999E-2</v>
      </c>
      <c r="Z7" s="14">
        <v>2.4049999999999998</v>
      </c>
      <c r="AA7" s="9" t="s">
        <v>85</v>
      </c>
      <c r="AB7" s="9">
        <v>0.12057599999999999</v>
      </c>
      <c r="AC7" s="10">
        <v>1.1459999999999999E-3</v>
      </c>
      <c r="AD7" s="10">
        <v>4.0980000000000001E-3</v>
      </c>
      <c r="AE7" s="9" t="s">
        <v>85</v>
      </c>
      <c r="AF7" s="9">
        <v>1.0367000000000001E-2</v>
      </c>
      <c r="AG7" s="14">
        <v>4.8288999999999999E-2</v>
      </c>
      <c r="AH7" s="9" t="s">
        <v>85</v>
      </c>
      <c r="AI7" s="10">
        <v>3.6399999999999996E-3</v>
      </c>
      <c r="AJ7" s="9" t="s">
        <v>85</v>
      </c>
      <c r="AK7" s="10">
        <v>1.395E-3</v>
      </c>
      <c r="AL7" s="10">
        <v>5.3869999999999994E-3</v>
      </c>
      <c r="AM7" s="4" t="s">
        <v>2</v>
      </c>
      <c r="AN7" s="4" t="s">
        <v>2</v>
      </c>
    </row>
    <row r="8" spans="1:40" x14ac:dyDescent="0.3">
      <c r="A8" s="2">
        <v>7</v>
      </c>
      <c r="B8" s="2" t="s">
        <v>146</v>
      </c>
      <c r="C8" s="2" t="s">
        <v>151</v>
      </c>
      <c r="D8" s="2" t="s">
        <v>92</v>
      </c>
      <c r="E8" s="2" t="s">
        <v>91</v>
      </c>
      <c r="F8" s="2" t="s">
        <v>51</v>
      </c>
      <c r="G8" s="30">
        <v>30.447948</v>
      </c>
      <c r="H8" s="30">
        <v>74.627116999999998</v>
      </c>
      <c r="I8" s="2" t="s">
        <v>33</v>
      </c>
      <c r="J8" s="2" t="s">
        <v>107</v>
      </c>
      <c r="K8" s="21">
        <v>0.1</v>
      </c>
      <c r="L8" s="8" t="s">
        <v>82</v>
      </c>
      <c r="M8" s="8">
        <v>216</v>
      </c>
      <c r="N8" s="8" t="s">
        <v>83</v>
      </c>
      <c r="O8" s="9">
        <v>27.22</v>
      </c>
      <c r="P8" s="8">
        <v>12.9</v>
      </c>
      <c r="Q8" s="8" t="s">
        <v>84</v>
      </c>
      <c r="R8" s="9">
        <v>13.64</v>
      </c>
      <c r="S8" s="8">
        <v>12.4</v>
      </c>
      <c r="T8" s="8">
        <v>33.299999999999997</v>
      </c>
      <c r="U8" s="8" t="s">
        <v>86</v>
      </c>
      <c r="V8" s="8">
        <v>116</v>
      </c>
      <c r="W8" s="8">
        <v>126.7</v>
      </c>
      <c r="X8" s="9">
        <v>2.9069999999999999E-3</v>
      </c>
      <c r="Y8" s="9">
        <v>0.155918</v>
      </c>
      <c r="Z8" s="13">
        <v>6.2734999999999999E-2</v>
      </c>
      <c r="AA8" s="9" t="s">
        <v>85</v>
      </c>
      <c r="AB8" s="9">
        <v>5.2825999999999998E-2</v>
      </c>
      <c r="AC8" s="9" t="s">
        <v>85</v>
      </c>
      <c r="AD8" s="9" t="s">
        <v>85</v>
      </c>
      <c r="AE8" s="9" t="s">
        <v>85</v>
      </c>
      <c r="AF8" s="9" t="s">
        <v>19</v>
      </c>
      <c r="AG8" s="9">
        <v>7.2610000000000001E-3</v>
      </c>
      <c r="AH8" s="9" t="s">
        <v>85</v>
      </c>
      <c r="AI8" s="10">
        <v>1.9709999999999997E-3</v>
      </c>
      <c r="AJ8" s="9" t="s">
        <v>85</v>
      </c>
      <c r="AK8" s="9" t="s">
        <v>85</v>
      </c>
      <c r="AL8" s="9" t="s">
        <v>85</v>
      </c>
      <c r="AM8" s="4" t="s">
        <v>2</v>
      </c>
      <c r="AN8" s="4" t="s">
        <v>2</v>
      </c>
    </row>
    <row r="9" spans="1:40" x14ac:dyDescent="0.3">
      <c r="A9" s="2">
        <v>8</v>
      </c>
      <c r="B9" s="2" t="s">
        <v>146</v>
      </c>
      <c r="C9" s="2" t="s">
        <v>151</v>
      </c>
      <c r="D9" s="2" t="s">
        <v>93</v>
      </c>
      <c r="E9" s="2" t="str">
        <f>$E$2</f>
        <v>Borewell</v>
      </c>
      <c r="F9" s="2" t="s">
        <v>52</v>
      </c>
      <c r="G9" s="30">
        <v>30.427481</v>
      </c>
      <c r="H9" s="30">
        <v>74.643484000000001</v>
      </c>
      <c r="I9" s="2" t="s">
        <v>34</v>
      </c>
      <c r="J9" s="2" t="s">
        <v>107</v>
      </c>
      <c r="K9" s="21">
        <v>0.3</v>
      </c>
      <c r="L9" s="8" t="s">
        <v>82</v>
      </c>
      <c r="M9" s="11">
        <v>1032</v>
      </c>
      <c r="N9" s="8" t="s">
        <v>83</v>
      </c>
      <c r="O9" s="13">
        <v>91.1</v>
      </c>
      <c r="P9" s="8">
        <v>178.7</v>
      </c>
      <c r="Q9" s="8">
        <v>0.22</v>
      </c>
      <c r="R9" s="13">
        <v>55.309999999999995</v>
      </c>
      <c r="S9" s="12">
        <v>55.8</v>
      </c>
      <c r="T9" s="8">
        <v>169.4</v>
      </c>
      <c r="U9" s="8" t="s">
        <v>86</v>
      </c>
      <c r="V9" s="11">
        <v>290</v>
      </c>
      <c r="W9" s="11">
        <v>435.6</v>
      </c>
      <c r="X9" s="9">
        <v>9.3510000000000017E-3</v>
      </c>
      <c r="Y9" s="9">
        <v>8.440099999999999E-2</v>
      </c>
      <c r="Z9" s="13">
        <v>0.58599999999999997</v>
      </c>
      <c r="AA9" s="9" t="s">
        <v>85</v>
      </c>
      <c r="AB9" s="9">
        <v>6.797700000000001E-2</v>
      </c>
      <c r="AC9" s="10">
        <v>2.0750000000000001E-2</v>
      </c>
      <c r="AD9" s="9" t="s">
        <v>85</v>
      </c>
      <c r="AE9" s="9" t="s">
        <v>85</v>
      </c>
      <c r="AF9" s="9" t="s">
        <v>19</v>
      </c>
      <c r="AG9" s="9">
        <v>1.5771E-2</v>
      </c>
      <c r="AH9" s="9" t="s">
        <v>85</v>
      </c>
      <c r="AI9" s="10">
        <v>3.8629999999999997E-3</v>
      </c>
      <c r="AJ9" s="9" t="s">
        <v>85</v>
      </c>
      <c r="AK9" s="9" t="s">
        <v>85</v>
      </c>
      <c r="AL9" s="10">
        <v>1.1839999999999999E-3</v>
      </c>
      <c r="AM9" s="4" t="s">
        <v>2</v>
      </c>
      <c r="AN9" s="4" t="s">
        <v>2</v>
      </c>
    </row>
    <row r="10" spans="1:40" x14ac:dyDescent="0.3">
      <c r="A10" s="2">
        <v>9</v>
      </c>
      <c r="B10" s="2" t="s">
        <v>147</v>
      </c>
      <c r="C10" s="2" t="s">
        <v>152</v>
      </c>
      <c r="D10" s="2" t="s">
        <v>94</v>
      </c>
      <c r="E10" s="2" t="s">
        <v>25</v>
      </c>
      <c r="F10" s="2" t="s">
        <v>53</v>
      </c>
      <c r="G10" s="30">
        <v>30.384156999999998</v>
      </c>
      <c r="H10" s="30">
        <v>74.551359000000005</v>
      </c>
      <c r="I10" s="2" t="s">
        <v>108</v>
      </c>
      <c r="J10" s="2" t="s">
        <v>107</v>
      </c>
      <c r="K10" s="21">
        <v>0.2</v>
      </c>
      <c r="L10" s="12">
        <v>64</v>
      </c>
      <c r="M10" s="8">
        <v>166</v>
      </c>
      <c r="N10" s="8">
        <v>0.36</v>
      </c>
      <c r="O10" s="9">
        <v>29.92</v>
      </c>
      <c r="P10" s="8">
        <v>11.9</v>
      </c>
      <c r="Q10" s="8">
        <v>0.23</v>
      </c>
      <c r="R10" s="9">
        <v>5.8280000000000003</v>
      </c>
      <c r="S10" s="8">
        <v>8.64</v>
      </c>
      <c r="T10" s="8">
        <v>19.399999999999999</v>
      </c>
      <c r="U10" s="8" t="s">
        <v>86</v>
      </c>
      <c r="V10" s="8">
        <v>116</v>
      </c>
      <c r="W10" s="8">
        <v>103</v>
      </c>
      <c r="X10" s="14">
        <v>1.7050000000000001</v>
      </c>
      <c r="Y10" s="9">
        <v>7.2212999999999999E-2</v>
      </c>
      <c r="Z10" s="9">
        <v>3.1132999999999997E-2</v>
      </c>
      <c r="AA10" s="10">
        <v>2.7299999999999998E-3</v>
      </c>
      <c r="AB10" s="14">
        <v>1.776</v>
      </c>
      <c r="AC10" s="10">
        <v>3.6167000000000005E-2</v>
      </c>
      <c r="AD10" s="10">
        <v>1.7549999999999998E-3</v>
      </c>
      <c r="AE10" s="10">
        <v>5.8160000000000009E-3</v>
      </c>
      <c r="AF10" s="9" t="s">
        <v>19</v>
      </c>
      <c r="AG10" s="9">
        <v>2.1170000000000004E-3</v>
      </c>
      <c r="AH10" s="10">
        <v>1.4039999999999999E-3</v>
      </c>
      <c r="AI10" s="10">
        <v>2.8340000000000001E-3</v>
      </c>
      <c r="AJ10" s="9">
        <v>2.5699999999999998E-3</v>
      </c>
      <c r="AK10" s="10">
        <v>2.771E-3</v>
      </c>
      <c r="AL10" s="10">
        <v>2.5839999999999999E-3</v>
      </c>
      <c r="AM10" s="18" t="s">
        <v>23</v>
      </c>
      <c r="AN10" s="18" t="s">
        <v>23</v>
      </c>
    </row>
    <row r="11" spans="1:40" x14ac:dyDescent="0.3">
      <c r="A11" s="2">
        <v>10</v>
      </c>
      <c r="B11" s="2" t="s">
        <v>147</v>
      </c>
      <c r="C11" s="2" t="s">
        <v>152</v>
      </c>
      <c r="D11" s="2" t="s">
        <v>95</v>
      </c>
      <c r="E11" s="2" t="s">
        <v>91</v>
      </c>
      <c r="F11" s="2" t="s">
        <v>54</v>
      </c>
      <c r="G11" s="30">
        <v>30.38392</v>
      </c>
      <c r="H11" s="30">
        <v>74.551398000000006</v>
      </c>
      <c r="I11" s="2" t="s">
        <v>32</v>
      </c>
      <c r="J11" s="2" t="s">
        <v>109</v>
      </c>
      <c r="K11" s="21">
        <v>0.6</v>
      </c>
      <c r="L11" s="8" t="s">
        <v>82</v>
      </c>
      <c r="M11" s="8">
        <v>164</v>
      </c>
      <c r="N11" s="8" t="s">
        <v>83</v>
      </c>
      <c r="O11" s="9">
        <v>27.509999999999998</v>
      </c>
      <c r="P11" s="8">
        <v>18.899999999999999</v>
      </c>
      <c r="Q11" s="8" t="s">
        <v>84</v>
      </c>
      <c r="R11" s="9">
        <v>6.3890000000000002</v>
      </c>
      <c r="S11" s="8">
        <v>9.1199999999999992</v>
      </c>
      <c r="T11" s="8">
        <v>20.399999999999999</v>
      </c>
      <c r="U11" s="8" t="s">
        <v>86</v>
      </c>
      <c r="V11" s="8">
        <v>92.8</v>
      </c>
      <c r="W11" s="8">
        <v>89.1</v>
      </c>
      <c r="X11" s="9">
        <v>8.8439999999999994E-3</v>
      </c>
      <c r="Y11" s="9">
        <v>0.11040699999999999</v>
      </c>
      <c r="Z11" s="9">
        <v>3.9423E-2</v>
      </c>
      <c r="AA11" s="10">
        <v>1.0509999999999999E-3</v>
      </c>
      <c r="AB11" s="9">
        <v>1.9427E-2</v>
      </c>
      <c r="AC11" s="9" t="s">
        <v>85</v>
      </c>
      <c r="AD11" s="9" t="s">
        <v>85</v>
      </c>
      <c r="AE11" s="9" t="s">
        <v>85</v>
      </c>
      <c r="AF11" s="9" t="s">
        <v>19</v>
      </c>
      <c r="AG11" s="9">
        <v>1.8500000000000001E-3</v>
      </c>
      <c r="AH11" s="9" t="s">
        <v>85</v>
      </c>
      <c r="AI11" s="10">
        <v>1.209E-3</v>
      </c>
      <c r="AJ11" s="9" t="s">
        <v>85</v>
      </c>
      <c r="AK11" s="10">
        <v>2.5569999999999998E-3</v>
      </c>
      <c r="AL11" s="10">
        <v>1.307E-3</v>
      </c>
      <c r="AM11" s="4" t="s">
        <v>2</v>
      </c>
      <c r="AN11" s="4" t="s">
        <v>2</v>
      </c>
    </row>
    <row r="12" spans="1:40" x14ac:dyDescent="0.3">
      <c r="A12" s="2">
        <v>11</v>
      </c>
      <c r="B12" s="2" t="s">
        <v>147</v>
      </c>
      <c r="C12" s="2" t="s">
        <v>152</v>
      </c>
      <c r="D12" s="2" t="s">
        <v>90</v>
      </c>
      <c r="E12" s="2" t="s">
        <v>91</v>
      </c>
      <c r="F12" s="2" t="s">
        <v>55</v>
      </c>
      <c r="G12" s="30">
        <v>30.377994000000001</v>
      </c>
      <c r="H12" s="30">
        <v>74.551944000000006</v>
      </c>
      <c r="I12" s="2" t="s">
        <v>33</v>
      </c>
      <c r="J12" s="2" t="s">
        <v>107</v>
      </c>
      <c r="K12" s="21">
        <v>0.2</v>
      </c>
      <c r="L12" s="8" t="s">
        <v>82</v>
      </c>
      <c r="M12" s="11">
        <v>1248</v>
      </c>
      <c r="N12" s="8" t="s">
        <v>83</v>
      </c>
      <c r="O12" s="9">
        <v>56.22</v>
      </c>
      <c r="P12" s="8">
        <v>153.9</v>
      </c>
      <c r="Q12" s="8">
        <v>0.34</v>
      </c>
      <c r="R12" s="13">
        <v>59.79</v>
      </c>
      <c r="S12" s="8">
        <v>74.5</v>
      </c>
      <c r="T12" s="11">
        <v>334.5</v>
      </c>
      <c r="U12" s="8" t="s">
        <v>86</v>
      </c>
      <c r="V12" s="11">
        <v>371.2</v>
      </c>
      <c r="W12" s="11">
        <v>366.3</v>
      </c>
      <c r="X12" s="9">
        <v>9.4199999999999996E-3</v>
      </c>
      <c r="Y12" s="9">
        <v>2.5519E-2</v>
      </c>
      <c r="Z12" s="13">
        <v>0.77500000000000002</v>
      </c>
      <c r="AA12" s="9" t="s">
        <v>85</v>
      </c>
      <c r="AB12" s="9">
        <v>9.1245000000000007E-2</v>
      </c>
      <c r="AC12" s="10">
        <v>2.1589999999999999E-3</v>
      </c>
      <c r="AD12" s="10">
        <v>6.123E-3</v>
      </c>
      <c r="AE12" s="9" t="s">
        <v>85</v>
      </c>
      <c r="AF12" s="9">
        <v>1.0834E-2</v>
      </c>
      <c r="AG12" s="14">
        <v>3.5123000000000001E-2</v>
      </c>
      <c r="AH12" s="9" t="s">
        <v>85</v>
      </c>
      <c r="AI12" s="10">
        <v>3.7069999999999998E-3</v>
      </c>
      <c r="AJ12" s="9" t="s">
        <v>85</v>
      </c>
      <c r="AK12" s="10">
        <v>1.0680000000000002E-3</v>
      </c>
      <c r="AL12" s="10">
        <v>6.9669999999999992E-3</v>
      </c>
      <c r="AM12" s="4" t="s">
        <v>2</v>
      </c>
      <c r="AN12" s="4" t="s">
        <v>2</v>
      </c>
    </row>
    <row r="13" spans="1:40" x14ac:dyDescent="0.3">
      <c r="A13" s="2">
        <v>12</v>
      </c>
      <c r="B13" s="2" t="s">
        <v>147</v>
      </c>
      <c r="C13" s="2" t="s">
        <v>152</v>
      </c>
      <c r="D13" s="2" t="s">
        <v>96</v>
      </c>
      <c r="E13" s="2" t="s">
        <v>24</v>
      </c>
      <c r="F13" s="2" t="s">
        <v>56</v>
      </c>
      <c r="G13" s="30">
        <v>30.383118</v>
      </c>
      <c r="H13" s="30">
        <v>74.554225000000002</v>
      </c>
      <c r="I13" s="2" t="s">
        <v>35</v>
      </c>
      <c r="J13" s="2" t="s">
        <v>106</v>
      </c>
      <c r="K13" s="2" t="s">
        <v>108</v>
      </c>
      <c r="L13" s="8" t="s">
        <v>82</v>
      </c>
      <c r="M13" s="8">
        <v>254</v>
      </c>
      <c r="N13" s="8" t="s">
        <v>83</v>
      </c>
      <c r="O13" s="9">
        <v>30.51</v>
      </c>
      <c r="P13" s="8">
        <v>22.8</v>
      </c>
      <c r="Q13" s="8">
        <v>0.16</v>
      </c>
      <c r="R13" s="9">
        <v>16.329999999999998</v>
      </c>
      <c r="S13" s="8">
        <v>26.4</v>
      </c>
      <c r="T13" s="8">
        <v>32.6</v>
      </c>
      <c r="U13" s="8" t="s">
        <v>86</v>
      </c>
      <c r="V13" s="8">
        <v>139.19999999999999</v>
      </c>
      <c r="W13" s="8">
        <v>126.7</v>
      </c>
      <c r="X13" s="9">
        <v>3.0219999999999999E-3</v>
      </c>
      <c r="Y13" s="9">
        <v>5.9297000000000002E-2</v>
      </c>
      <c r="Z13" s="9">
        <v>0.19046399999999999</v>
      </c>
      <c r="AA13" s="10">
        <v>1.307E-3</v>
      </c>
      <c r="AB13" s="9">
        <v>1.9004999999999998E-2</v>
      </c>
      <c r="AC13" s="9" t="s">
        <v>85</v>
      </c>
      <c r="AD13" s="9" t="s">
        <v>85</v>
      </c>
      <c r="AE13" s="9" t="s">
        <v>85</v>
      </c>
      <c r="AF13" s="9" t="s">
        <v>19</v>
      </c>
      <c r="AG13" s="9">
        <v>2.81E-3</v>
      </c>
      <c r="AH13" s="9" t="s">
        <v>85</v>
      </c>
      <c r="AI13" s="10">
        <v>6.365E-3</v>
      </c>
      <c r="AJ13" s="9">
        <v>1.6970000000000002E-3</v>
      </c>
      <c r="AK13" s="9" t="s">
        <v>85</v>
      </c>
      <c r="AL13" s="10">
        <v>2.4880000000000002E-3</v>
      </c>
      <c r="AM13" s="4" t="s">
        <v>2</v>
      </c>
      <c r="AN13" s="4" t="s">
        <v>2</v>
      </c>
    </row>
    <row r="14" spans="1:40" x14ac:dyDescent="0.3">
      <c r="A14" s="2">
        <v>13</v>
      </c>
      <c r="B14" s="2" t="s">
        <v>147</v>
      </c>
      <c r="C14" s="2" t="s">
        <v>152</v>
      </c>
      <c r="D14" s="2" t="s">
        <v>93</v>
      </c>
      <c r="E14" s="2" t="s">
        <v>24</v>
      </c>
      <c r="F14" s="2" t="s">
        <v>57</v>
      </c>
      <c r="G14" s="30">
        <v>30.382235000000001</v>
      </c>
      <c r="H14" s="30">
        <v>74.5672</v>
      </c>
      <c r="I14" s="2" t="s">
        <v>29</v>
      </c>
      <c r="J14" s="2" t="s">
        <v>107</v>
      </c>
      <c r="K14" s="21">
        <v>0.2</v>
      </c>
      <c r="L14" s="8" t="s">
        <v>82</v>
      </c>
      <c r="M14" s="8">
        <v>202</v>
      </c>
      <c r="N14" s="8" t="s">
        <v>83</v>
      </c>
      <c r="O14" s="9">
        <v>27.259999999999998</v>
      </c>
      <c r="P14" s="8">
        <v>18.899999999999999</v>
      </c>
      <c r="Q14" s="8" t="s">
        <v>84</v>
      </c>
      <c r="R14" s="9">
        <v>8.6110000000000007</v>
      </c>
      <c r="S14" s="8">
        <v>24.1</v>
      </c>
      <c r="T14" s="8">
        <v>25.4</v>
      </c>
      <c r="U14" s="8" t="s">
        <v>86</v>
      </c>
      <c r="V14" s="8">
        <v>127.6</v>
      </c>
      <c r="W14" s="8">
        <v>99</v>
      </c>
      <c r="X14" s="13">
        <v>4.3735999999999997E-2</v>
      </c>
      <c r="Y14" s="9">
        <v>3.8867000000000006E-2</v>
      </c>
      <c r="Z14" s="9">
        <v>8.7844999999999993E-2</v>
      </c>
      <c r="AA14" s="9" t="s">
        <v>85</v>
      </c>
      <c r="AB14" s="9">
        <v>4.0403000000000001E-2</v>
      </c>
      <c r="AC14" s="9" t="s">
        <v>85</v>
      </c>
      <c r="AD14" s="9" t="s">
        <v>85</v>
      </c>
      <c r="AE14" s="9" t="s">
        <v>85</v>
      </c>
      <c r="AF14" s="9" t="s">
        <v>19</v>
      </c>
      <c r="AG14" s="9">
        <v>6.7580000000000001E-3</v>
      </c>
      <c r="AH14" s="9" t="s">
        <v>85</v>
      </c>
      <c r="AI14" s="10">
        <v>1.5740000000000001E-3</v>
      </c>
      <c r="AJ14" s="9" t="s">
        <v>85</v>
      </c>
      <c r="AK14" s="10">
        <v>1.5509999999999999E-3</v>
      </c>
      <c r="AL14" s="9" t="s">
        <v>85</v>
      </c>
      <c r="AM14" s="4" t="s">
        <v>2</v>
      </c>
      <c r="AN14" s="18" t="s">
        <v>23</v>
      </c>
    </row>
    <row r="15" spans="1:40" x14ac:dyDescent="0.3">
      <c r="A15" s="2">
        <v>14</v>
      </c>
      <c r="B15" s="2" t="s">
        <v>147</v>
      </c>
      <c r="C15" s="2" t="s">
        <v>153</v>
      </c>
      <c r="D15" s="2" t="s">
        <v>95</v>
      </c>
      <c r="E15" s="2" t="s">
        <v>24</v>
      </c>
      <c r="F15" s="2" t="s">
        <v>58</v>
      </c>
      <c r="G15" s="30">
        <v>30.377437</v>
      </c>
      <c r="H15" s="30">
        <v>74.594421999999994</v>
      </c>
      <c r="I15" s="2" t="s">
        <v>41</v>
      </c>
      <c r="J15" s="2" t="s">
        <v>107</v>
      </c>
      <c r="K15" s="21">
        <v>0.3</v>
      </c>
      <c r="L15" s="8" t="s">
        <v>82</v>
      </c>
      <c r="M15" s="8">
        <v>248</v>
      </c>
      <c r="N15" s="8" t="s">
        <v>83</v>
      </c>
      <c r="O15" s="9">
        <v>31.48</v>
      </c>
      <c r="P15" s="8">
        <v>20.8</v>
      </c>
      <c r="Q15" s="8" t="s">
        <v>84</v>
      </c>
      <c r="R15" s="9">
        <v>19.45</v>
      </c>
      <c r="S15" s="8">
        <v>32.6</v>
      </c>
      <c r="T15" s="8">
        <v>38.4</v>
      </c>
      <c r="U15" s="8" t="s">
        <v>86</v>
      </c>
      <c r="V15" s="8">
        <v>162.4</v>
      </c>
      <c r="W15" s="8">
        <v>144.5</v>
      </c>
      <c r="X15" s="13">
        <v>3.7778999999999993E-2</v>
      </c>
      <c r="Y15" s="9">
        <v>0.21765700000000002</v>
      </c>
      <c r="Z15" s="9">
        <v>5.6476999999999999E-2</v>
      </c>
      <c r="AA15" s="9" t="s">
        <v>85</v>
      </c>
      <c r="AB15" s="9">
        <v>3.6049999999999999E-2</v>
      </c>
      <c r="AC15" s="9" t="s">
        <v>85</v>
      </c>
      <c r="AD15" s="9" t="s">
        <v>85</v>
      </c>
      <c r="AE15" s="9" t="s">
        <v>85</v>
      </c>
      <c r="AF15" s="9" t="s">
        <v>19</v>
      </c>
      <c r="AG15" s="9">
        <v>1.1922E-2</v>
      </c>
      <c r="AH15" s="9" t="s">
        <v>85</v>
      </c>
      <c r="AI15" s="10">
        <v>9.8400000000000007E-4</v>
      </c>
      <c r="AJ15" s="9" t="s">
        <v>85</v>
      </c>
      <c r="AK15" s="10">
        <v>3.3479999999999998E-3</v>
      </c>
      <c r="AL15" s="10">
        <v>1.173E-3</v>
      </c>
      <c r="AM15" s="4" t="s">
        <v>2</v>
      </c>
      <c r="AN15" s="18" t="s">
        <v>23</v>
      </c>
    </row>
    <row r="16" spans="1:40" ht="28.8" x14ac:dyDescent="0.3">
      <c r="A16" s="2">
        <v>15</v>
      </c>
      <c r="B16" s="2" t="s">
        <v>147</v>
      </c>
      <c r="C16" s="2" t="s">
        <v>154</v>
      </c>
      <c r="D16" s="2" t="s">
        <v>92</v>
      </c>
      <c r="E16" s="2" t="s">
        <v>91</v>
      </c>
      <c r="F16" s="2" t="s">
        <v>59</v>
      </c>
      <c r="G16" s="30">
        <v>30.354738000000001</v>
      </c>
      <c r="H16" s="30">
        <v>74.566942999999995</v>
      </c>
      <c r="I16" s="2" t="s">
        <v>36</v>
      </c>
      <c r="J16" s="2" t="s">
        <v>106</v>
      </c>
      <c r="K16" s="2" t="s">
        <v>108</v>
      </c>
      <c r="L16" s="8" t="s">
        <v>82</v>
      </c>
      <c r="M16" s="11">
        <v>618</v>
      </c>
      <c r="N16" s="8" t="s">
        <v>83</v>
      </c>
      <c r="O16" s="9">
        <v>69.92</v>
      </c>
      <c r="P16" s="8">
        <v>85.4</v>
      </c>
      <c r="Q16" s="8">
        <v>0.31</v>
      </c>
      <c r="R16" s="13">
        <v>38.68</v>
      </c>
      <c r="S16" s="8">
        <v>42.6</v>
      </c>
      <c r="T16" s="8">
        <v>122.6</v>
      </c>
      <c r="U16" s="8" t="s">
        <v>86</v>
      </c>
      <c r="V16" s="11">
        <v>266.8</v>
      </c>
      <c r="W16" s="11">
        <v>299</v>
      </c>
      <c r="X16" s="13">
        <v>4.0518999999999999E-2</v>
      </c>
      <c r="Y16" s="9">
        <v>7.5476999999999989E-2</v>
      </c>
      <c r="Z16" s="9">
        <v>0.22917199999999999</v>
      </c>
      <c r="AA16" s="9" t="s">
        <v>85</v>
      </c>
      <c r="AB16" s="9">
        <v>0.11912</v>
      </c>
      <c r="AC16" s="10">
        <v>1.3859999999999999E-3</v>
      </c>
      <c r="AD16" s="9" t="s">
        <v>85</v>
      </c>
      <c r="AE16" s="9" t="s">
        <v>85</v>
      </c>
      <c r="AF16" s="9" t="s">
        <v>19</v>
      </c>
      <c r="AG16" s="9">
        <v>1.1565000000000001E-2</v>
      </c>
      <c r="AH16" s="9" t="s">
        <v>85</v>
      </c>
      <c r="AI16" s="10">
        <v>6.215E-3</v>
      </c>
      <c r="AJ16" s="9" t="s">
        <v>85</v>
      </c>
      <c r="AK16" s="9" t="s">
        <v>85</v>
      </c>
      <c r="AL16" s="9" t="s">
        <v>85</v>
      </c>
      <c r="AM16" s="4" t="s">
        <v>2</v>
      </c>
      <c r="AN16" s="4" t="s">
        <v>2</v>
      </c>
    </row>
    <row r="17" spans="1:40" x14ac:dyDescent="0.3">
      <c r="A17" s="2">
        <v>16</v>
      </c>
      <c r="B17" s="2" t="s">
        <v>147</v>
      </c>
      <c r="C17" s="2" t="s">
        <v>154</v>
      </c>
      <c r="D17" s="2" t="s">
        <v>89</v>
      </c>
      <c r="E17" s="2" t="s">
        <v>24</v>
      </c>
      <c r="F17" s="2" t="s">
        <v>60</v>
      </c>
      <c r="G17" s="30">
        <v>30.350988000000001</v>
      </c>
      <c r="H17" s="30">
        <v>74.578907999999998</v>
      </c>
      <c r="I17" s="2" t="s">
        <v>32</v>
      </c>
      <c r="J17" s="2" t="s">
        <v>106</v>
      </c>
      <c r="K17" s="2" t="s">
        <v>108</v>
      </c>
      <c r="L17" s="8" t="s">
        <v>82</v>
      </c>
      <c r="M17" s="12">
        <v>2014</v>
      </c>
      <c r="N17" s="8" t="s">
        <v>83</v>
      </c>
      <c r="O17" s="9">
        <v>26.589999999999996</v>
      </c>
      <c r="P17" s="11">
        <v>268</v>
      </c>
      <c r="Q17" s="8">
        <v>0.28000000000000003</v>
      </c>
      <c r="R17" s="9">
        <v>28.88</v>
      </c>
      <c r="S17" s="12">
        <v>209.4</v>
      </c>
      <c r="T17" s="12">
        <v>534.6</v>
      </c>
      <c r="U17" s="8" t="s">
        <v>86</v>
      </c>
      <c r="V17" s="12">
        <v>835.2</v>
      </c>
      <c r="W17" s="8">
        <v>178.2</v>
      </c>
      <c r="X17" s="9">
        <v>3.4259999999999998E-3</v>
      </c>
      <c r="Y17" s="9">
        <v>2.7538999999999998E-2</v>
      </c>
      <c r="Z17" s="14">
        <v>1.9670000000000001</v>
      </c>
      <c r="AA17" s="10">
        <v>1.6200000000000001E-3</v>
      </c>
      <c r="AB17" s="9">
        <v>1.5782999999999998E-2</v>
      </c>
      <c r="AC17" s="9" t="s">
        <v>85</v>
      </c>
      <c r="AD17" s="10">
        <v>1.3680000000000001E-3</v>
      </c>
      <c r="AE17" s="9" t="s">
        <v>85</v>
      </c>
      <c r="AF17" s="9" t="s">
        <v>19</v>
      </c>
      <c r="AG17" s="14">
        <v>5.0115E-2</v>
      </c>
      <c r="AH17" s="9" t="s">
        <v>85</v>
      </c>
      <c r="AI17" s="10">
        <v>2.9725000000000001E-2</v>
      </c>
      <c r="AJ17" s="9" t="s">
        <v>85</v>
      </c>
      <c r="AK17" s="10">
        <v>7.731E-3</v>
      </c>
      <c r="AL17" s="10">
        <v>9.526999999999999E-3</v>
      </c>
      <c r="AM17" s="18" t="s">
        <v>23</v>
      </c>
      <c r="AN17" s="18" t="s">
        <v>23</v>
      </c>
    </row>
    <row r="18" spans="1:40" x14ac:dyDescent="0.3">
      <c r="A18" s="2">
        <v>17</v>
      </c>
      <c r="B18" s="2" t="s">
        <v>148</v>
      </c>
      <c r="C18" s="2" t="s">
        <v>155</v>
      </c>
      <c r="D18" s="2" t="s">
        <v>95</v>
      </c>
      <c r="E18" s="2" t="s">
        <v>91</v>
      </c>
      <c r="F18" s="2" t="s">
        <v>61</v>
      </c>
      <c r="G18" s="31" t="s">
        <v>144</v>
      </c>
      <c r="H18" s="30">
        <v>74.467017999999996</v>
      </c>
      <c r="I18" s="2" t="s">
        <v>103</v>
      </c>
      <c r="J18" s="2" t="s">
        <v>109</v>
      </c>
      <c r="K18" s="21">
        <v>0.4</v>
      </c>
      <c r="L18" s="8" t="s">
        <v>82</v>
      </c>
      <c r="M18" s="8">
        <v>218</v>
      </c>
      <c r="N18" s="8" t="s">
        <v>83</v>
      </c>
      <c r="O18" s="9">
        <v>39.68</v>
      </c>
      <c r="P18" s="8">
        <v>148.9</v>
      </c>
      <c r="Q18" s="8" t="s">
        <v>84</v>
      </c>
      <c r="R18" s="9">
        <v>6.8970000000000002</v>
      </c>
      <c r="S18" s="8">
        <v>16.399999999999999</v>
      </c>
      <c r="T18" s="8">
        <v>22.5</v>
      </c>
      <c r="U18" s="8" t="s">
        <v>86</v>
      </c>
      <c r="V18" s="8">
        <v>116</v>
      </c>
      <c r="W18" s="8">
        <v>122.8</v>
      </c>
      <c r="X18" s="9">
        <v>7.4390000000000003E-3</v>
      </c>
      <c r="Y18" s="9">
        <v>6.5801999999999999E-2</v>
      </c>
      <c r="Z18" s="9">
        <v>5.3454999999999996E-2</v>
      </c>
      <c r="AA18" s="9" t="s">
        <v>85</v>
      </c>
      <c r="AB18" s="9">
        <v>5.4549E-2</v>
      </c>
      <c r="AC18" s="10">
        <v>6.7080000000000004E-3</v>
      </c>
      <c r="AD18" s="9" t="s">
        <v>85</v>
      </c>
      <c r="AE18" s="9" t="s">
        <v>85</v>
      </c>
      <c r="AF18" s="9" t="s">
        <v>19</v>
      </c>
      <c r="AG18" s="9">
        <v>1.1770000000000001E-3</v>
      </c>
      <c r="AH18" s="9" t="s">
        <v>85</v>
      </c>
      <c r="AI18" s="10">
        <v>2.545E-3</v>
      </c>
      <c r="AJ18" s="9" t="s">
        <v>85</v>
      </c>
      <c r="AK18" s="10">
        <v>2.1429999999999999E-3</v>
      </c>
      <c r="AL18" s="9" t="s">
        <v>85</v>
      </c>
      <c r="AM18" s="4" t="s">
        <v>2</v>
      </c>
      <c r="AN18" s="4" t="s">
        <v>2</v>
      </c>
    </row>
    <row r="19" spans="1:40" x14ac:dyDescent="0.3">
      <c r="A19" s="2">
        <v>18</v>
      </c>
      <c r="B19" s="2" t="s">
        <v>148</v>
      </c>
      <c r="C19" s="2" t="s">
        <v>155</v>
      </c>
      <c r="D19" s="2" t="s">
        <v>96</v>
      </c>
      <c r="E19" s="2" t="s">
        <v>91</v>
      </c>
      <c r="F19" s="2" t="s">
        <v>62</v>
      </c>
      <c r="G19" s="30">
        <v>30.602007</v>
      </c>
      <c r="H19" s="30">
        <v>74.484297999999995</v>
      </c>
      <c r="I19" s="2" t="s">
        <v>37</v>
      </c>
      <c r="J19" s="2" t="s">
        <v>107</v>
      </c>
      <c r="K19" s="21">
        <v>0.1</v>
      </c>
      <c r="L19" s="11">
        <v>4.3</v>
      </c>
      <c r="M19" s="12">
        <v>5376</v>
      </c>
      <c r="N19" s="8" t="s">
        <v>83</v>
      </c>
      <c r="O19" s="13">
        <v>126.62</v>
      </c>
      <c r="P19" s="12">
        <v>1359.9</v>
      </c>
      <c r="Q19" s="8">
        <v>0.92</v>
      </c>
      <c r="R19" s="14">
        <v>138</v>
      </c>
      <c r="S19" s="12">
        <v>624.79999999999995</v>
      </c>
      <c r="T19" s="12">
        <v>2070.6</v>
      </c>
      <c r="U19" s="8" t="s">
        <v>86</v>
      </c>
      <c r="V19" s="11">
        <v>487.2</v>
      </c>
      <c r="W19" s="12">
        <v>1009.8</v>
      </c>
      <c r="X19" s="9">
        <v>2.506E-3</v>
      </c>
      <c r="Y19" s="9">
        <v>1.5310000000000001E-2</v>
      </c>
      <c r="Z19" s="14">
        <v>2.7349999999999999</v>
      </c>
      <c r="AA19" s="9" t="s">
        <v>85</v>
      </c>
      <c r="AB19" s="9">
        <v>0.13034000000000001</v>
      </c>
      <c r="AC19" s="15">
        <v>0.30488700000000002</v>
      </c>
      <c r="AD19" s="10">
        <v>5.3540000000000003E-3</v>
      </c>
      <c r="AE19" s="9" t="s">
        <v>85</v>
      </c>
      <c r="AF19" s="9">
        <v>4.6247999999999997E-2</v>
      </c>
      <c r="AG19" s="9">
        <v>2.5996999999999999E-2</v>
      </c>
      <c r="AH19" s="9" t="s">
        <v>85</v>
      </c>
      <c r="AI19" s="10">
        <v>8.8059999999999996E-3</v>
      </c>
      <c r="AJ19" s="9" t="s">
        <v>85</v>
      </c>
      <c r="AK19" s="9" t="s">
        <v>85</v>
      </c>
      <c r="AL19" s="9" t="s">
        <v>85</v>
      </c>
      <c r="AM19" s="4" t="s">
        <v>2</v>
      </c>
      <c r="AN19" s="18" t="s">
        <v>23</v>
      </c>
    </row>
    <row r="20" spans="1:40" x14ac:dyDescent="0.3">
      <c r="A20" s="22">
        <v>19</v>
      </c>
      <c r="B20" s="2" t="s">
        <v>148</v>
      </c>
      <c r="C20" s="22" t="s">
        <v>156</v>
      </c>
      <c r="D20" s="22" t="s">
        <v>95</v>
      </c>
      <c r="E20" s="22" t="s">
        <v>24</v>
      </c>
      <c r="F20" s="22" t="s">
        <v>63</v>
      </c>
      <c r="G20" s="30">
        <v>30.619726</v>
      </c>
      <c r="H20" s="30">
        <v>74.492345</v>
      </c>
      <c r="I20" s="22" t="s">
        <v>32</v>
      </c>
      <c r="J20" s="22" t="s">
        <v>107</v>
      </c>
      <c r="K20" s="28">
        <v>0.3</v>
      </c>
      <c r="L20" s="8" t="s">
        <v>82</v>
      </c>
      <c r="M20" s="8">
        <v>282</v>
      </c>
      <c r="N20" s="8" t="s">
        <v>83</v>
      </c>
      <c r="O20" s="9">
        <v>55.42</v>
      </c>
      <c r="P20" s="8">
        <v>20.8</v>
      </c>
      <c r="Q20" s="8" t="s">
        <v>84</v>
      </c>
      <c r="R20" s="9">
        <v>12.54</v>
      </c>
      <c r="S20" s="8">
        <v>29.4</v>
      </c>
      <c r="T20" s="8">
        <v>30.4</v>
      </c>
      <c r="U20" s="8" t="s">
        <v>86</v>
      </c>
      <c r="V20" s="8">
        <v>185.6</v>
      </c>
      <c r="W20" s="8">
        <v>170.3</v>
      </c>
      <c r="X20" s="9">
        <v>5.7850000000000002E-3</v>
      </c>
      <c r="Y20" s="9">
        <v>0.163911</v>
      </c>
      <c r="Z20" s="9">
        <v>0.10596599999999999</v>
      </c>
      <c r="AA20" s="9" t="s">
        <v>85</v>
      </c>
      <c r="AB20" s="9">
        <v>8.4555999999999992E-2</v>
      </c>
      <c r="AC20" s="10">
        <v>1.691E-3</v>
      </c>
      <c r="AD20" s="9" t="s">
        <v>85</v>
      </c>
      <c r="AE20" s="9" t="s">
        <v>85</v>
      </c>
      <c r="AF20" s="9">
        <v>2.0547999999999997E-2</v>
      </c>
      <c r="AG20" s="9">
        <v>2.761E-3</v>
      </c>
      <c r="AH20" s="9" t="s">
        <v>85</v>
      </c>
      <c r="AI20" s="10">
        <v>2.8079999999999997E-3</v>
      </c>
      <c r="AJ20" s="9" t="s">
        <v>85</v>
      </c>
      <c r="AK20" s="10">
        <v>1.5629999999999999E-3</v>
      </c>
      <c r="AL20" s="9" t="s">
        <v>85</v>
      </c>
      <c r="AM20" s="18" t="s">
        <v>23</v>
      </c>
      <c r="AN20" s="18" t="s">
        <v>23</v>
      </c>
    </row>
    <row r="21" spans="1:40" x14ac:dyDescent="0.3">
      <c r="A21" s="22">
        <v>20</v>
      </c>
      <c r="B21" s="2" t="s">
        <v>148</v>
      </c>
      <c r="C21" s="22" t="s">
        <v>156</v>
      </c>
      <c r="D21" s="22" t="s">
        <v>89</v>
      </c>
      <c r="E21" s="22" t="s">
        <v>91</v>
      </c>
      <c r="F21" s="22" t="s">
        <v>64</v>
      </c>
      <c r="G21" s="30">
        <v>30.616543</v>
      </c>
      <c r="H21" s="30">
        <v>74.490812000000005</v>
      </c>
      <c r="I21" s="22" t="s">
        <v>29</v>
      </c>
      <c r="J21" s="22" t="s">
        <v>106</v>
      </c>
      <c r="K21" s="22" t="s">
        <v>108</v>
      </c>
      <c r="L21" s="8" t="s">
        <v>82</v>
      </c>
      <c r="M21" s="12">
        <v>3710</v>
      </c>
      <c r="N21" s="8" t="s">
        <v>83</v>
      </c>
      <c r="O21" s="13">
        <v>147.26000000000002</v>
      </c>
      <c r="P21" s="11">
        <v>843.7</v>
      </c>
      <c r="Q21" s="8">
        <v>0.62</v>
      </c>
      <c r="R21" s="13">
        <v>91.62</v>
      </c>
      <c r="S21" s="12">
        <v>382.4</v>
      </c>
      <c r="T21" s="8">
        <v>1471.6</v>
      </c>
      <c r="U21" s="8" t="s">
        <v>86</v>
      </c>
      <c r="V21" s="11">
        <v>412.5</v>
      </c>
      <c r="W21" s="12">
        <v>950.4</v>
      </c>
      <c r="X21" s="9">
        <v>1.8820000000000002E-3</v>
      </c>
      <c r="Y21" s="9">
        <v>1.3606E-2</v>
      </c>
      <c r="Z21" s="14">
        <v>2.0339999999999998</v>
      </c>
      <c r="AA21" s="9" t="s">
        <v>85</v>
      </c>
      <c r="AB21" s="9">
        <v>0.19699100000000003</v>
      </c>
      <c r="AC21" s="16">
        <v>0.11410899999999999</v>
      </c>
      <c r="AD21" s="10">
        <v>2.9550000000000002E-3</v>
      </c>
      <c r="AE21" s="9" t="s">
        <v>85</v>
      </c>
      <c r="AF21" s="9" t="s">
        <v>19</v>
      </c>
      <c r="AG21" s="9">
        <v>2.4512999999999997E-2</v>
      </c>
      <c r="AH21" s="9" t="s">
        <v>85</v>
      </c>
      <c r="AI21" s="10">
        <v>5.7999999999999996E-3</v>
      </c>
      <c r="AJ21" s="9" t="s">
        <v>85</v>
      </c>
      <c r="AK21" s="10">
        <v>2.8270000000000001E-3</v>
      </c>
      <c r="AL21" s="9" t="s">
        <v>85</v>
      </c>
      <c r="AM21" s="4" t="s">
        <v>2</v>
      </c>
      <c r="AN21" s="18" t="s">
        <v>23</v>
      </c>
    </row>
    <row r="22" spans="1:40" x14ac:dyDescent="0.3">
      <c r="A22" s="2">
        <v>21</v>
      </c>
      <c r="B22" s="2" t="s">
        <v>148</v>
      </c>
      <c r="C22" s="2" t="s">
        <v>157</v>
      </c>
      <c r="D22" s="2" t="s">
        <v>93</v>
      </c>
      <c r="E22" s="2" t="s">
        <v>24</v>
      </c>
      <c r="F22" s="2" t="s">
        <v>65</v>
      </c>
      <c r="G22" s="30">
        <v>30.584766999999999</v>
      </c>
      <c r="H22" s="30">
        <v>74.492576999999997</v>
      </c>
      <c r="I22" s="2" t="s">
        <v>38</v>
      </c>
      <c r="J22" s="2" t="s">
        <v>107</v>
      </c>
      <c r="K22" s="21">
        <v>0.2</v>
      </c>
      <c r="L22" s="8" t="s">
        <v>82</v>
      </c>
      <c r="M22" s="11">
        <v>858</v>
      </c>
      <c r="N22" s="8" t="s">
        <v>83</v>
      </c>
      <c r="O22" s="13">
        <v>89.48</v>
      </c>
      <c r="P22" s="8">
        <v>148.9</v>
      </c>
      <c r="Q22" s="8">
        <v>0.34</v>
      </c>
      <c r="R22" s="13">
        <v>46.44</v>
      </c>
      <c r="S22" s="12">
        <v>62.4</v>
      </c>
      <c r="T22" s="8">
        <v>142.6</v>
      </c>
      <c r="U22" s="8" t="s">
        <v>86</v>
      </c>
      <c r="V22" s="11">
        <v>280.5</v>
      </c>
      <c r="W22" s="11">
        <v>445.5</v>
      </c>
      <c r="X22" s="9">
        <v>4.9290000000000002E-3</v>
      </c>
      <c r="Y22" s="9">
        <v>0.12687699999999999</v>
      </c>
      <c r="Z22" s="9">
        <v>0.40899999999999997</v>
      </c>
      <c r="AA22" s="9" t="s">
        <v>85</v>
      </c>
      <c r="AB22" s="9">
        <v>9.2779E-2</v>
      </c>
      <c r="AC22" s="10">
        <v>3.3895000000000002E-2</v>
      </c>
      <c r="AD22" s="9" t="s">
        <v>85</v>
      </c>
      <c r="AE22" s="9" t="s">
        <v>85</v>
      </c>
      <c r="AF22" s="9" t="s">
        <v>19</v>
      </c>
      <c r="AG22" s="9">
        <v>1.2679000000000001E-2</v>
      </c>
      <c r="AH22" s="9" t="s">
        <v>85</v>
      </c>
      <c r="AI22" s="10">
        <v>2.3079999999999997E-3</v>
      </c>
      <c r="AJ22" s="9" t="s">
        <v>85</v>
      </c>
      <c r="AK22" s="9" t="s">
        <v>85</v>
      </c>
      <c r="AL22" s="10">
        <v>1.6100000000000001E-3</v>
      </c>
      <c r="AM22" s="4" t="s">
        <v>2</v>
      </c>
      <c r="AN22" s="4" t="s">
        <v>2</v>
      </c>
    </row>
    <row r="23" spans="1:40" x14ac:dyDescent="0.3">
      <c r="A23" s="2">
        <v>22</v>
      </c>
      <c r="B23" s="2" t="s">
        <v>148</v>
      </c>
      <c r="C23" s="2" t="s">
        <v>157</v>
      </c>
      <c r="D23" s="2" t="s">
        <v>92</v>
      </c>
      <c r="E23" s="2" t="s">
        <v>97</v>
      </c>
      <c r="F23" s="2" t="s">
        <v>66</v>
      </c>
      <c r="G23" s="30">
        <v>30.579277999999999</v>
      </c>
      <c r="H23" s="30">
        <v>74.493575000000007</v>
      </c>
      <c r="I23" s="2" t="s">
        <v>108</v>
      </c>
      <c r="J23" s="2" t="s">
        <v>109</v>
      </c>
      <c r="K23" s="21">
        <v>0.5</v>
      </c>
      <c r="L23" s="8" t="s">
        <v>82</v>
      </c>
      <c r="M23" s="8">
        <v>122</v>
      </c>
      <c r="N23" s="8" t="s">
        <v>83</v>
      </c>
      <c r="O23" s="9">
        <v>5.2590000000000003</v>
      </c>
      <c r="P23" s="8">
        <v>25.8</v>
      </c>
      <c r="Q23" s="8" t="s">
        <v>84</v>
      </c>
      <c r="R23" s="9">
        <v>4.3710000000000004</v>
      </c>
      <c r="S23" s="8">
        <v>11.4</v>
      </c>
      <c r="T23" s="8">
        <v>6.4</v>
      </c>
      <c r="U23" s="8" t="s">
        <v>86</v>
      </c>
      <c r="V23" s="8">
        <v>11</v>
      </c>
      <c r="W23" s="8">
        <v>27.7</v>
      </c>
      <c r="X23" s="9">
        <v>7.5000000000000002E-4</v>
      </c>
      <c r="Y23" s="17" t="s">
        <v>19</v>
      </c>
      <c r="Z23" s="14">
        <v>1.0720000000000001</v>
      </c>
      <c r="AA23" s="9" t="s">
        <v>85</v>
      </c>
      <c r="AB23" s="9">
        <v>1.6821000000000003E-2</v>
      </c>
      <c r="AC23" s="9" t="s">
        <v>85</v>
      </c>
      <c r="AD23" s="9" t="s">
        <v>85</v>
      </c>
      <c r="AE23" s="9" t="s">
        <v>85</v>
      </c>
      <c r="AF23" s="9" t="s">
        <v>19</v>
      </c>
      <c r="AG23" s="9" t="s">
        <v>85</v>
      </c>
      <c r="AH23" s="9" t="s">
        <v>85</v>
      </c>
      <c r="AI23" s="9" t="s">
        <v>85</v>
      </c>
      <c r="AJ23" s="9" t="s">
        <v>85</v>
      </c>
      <c r="AK23" s="9" t="s">
        <v>85</v>
      </c>
      <c r="AL23" s="9" t="s">
        <v>85</v>
      </c>
      <c r="AM23" s="4" t="s">
        <v>2</v>
      </c>
      <c r="AN23" s="4" t="s">
        <v>2</v>
      </c>
    </row>
    <row r="24" spans="1:40" ht="28.8" x14ac:dyDescent="0.3">
      <c r="A24" s="2">
        <v>23</v>
      </c>
      <c r="B24" s="2" t="s">
        <v>148</v>
      </c>
      <c r="C24" s="2" t="s">
        <v>157</v>
      </c>
      <c r="D24" s="2" t="s">
        <v>98</v>
      </c>
      <c r="E24" s="2" t="s">
        <v>24</v>
      </c>
      <c r="F24" s="2" t="s">
        <v>67</v>
      </c>
      <c r="G24" s="30">
        <v>30.579277999999999</v>
      </c>
      <c r="H24" s="30">
        <v>74.493575000000007</v>
      </c>
      <c r="I24" s="2" t="s">
        <v>31</v>
      </c>
      <c r="J24" s="2" t="s">
        <v>106</v>
      </c>
      <c r="K24" s="2" t="s">
        <v>108</v>
      </c>
      <c r="L24" s="8" t="s">
        <v>82</v>
      </c>
      <c r="M24" s="12">
        <v>4344</v>
      </c>
      <c r="N24" s="8" t="s">
        <v>83</v>
      </c>
      <c r="O24" s="14">
        <v>282.02000000000004</v>
      </c>
      <c r="P24" s="11">
        <v>873.5</v>
      </c>
      <c r="Q24" s="8">
        <v>0.49</v>
      </c>
      <c r="R24" s="14">
        <v>233.44</v>
      </c>
      <c r="S24" s="12">
        <v>634.5</v>
      </c>
      <c r="T24" s="12">
        <v>2462</v>
      </c>
      <c r="U24" s="8" t="s">
        <v>86</v>
      </c>
      <c r="V24" s="11">
        <v>385</v>
      </c>
      <c r="W24" s="12">
        <v>1881</v>
      </c>
      <c r="X24" s="9">
        <v>8.7320000000000019E-3</v>
      </c>
      <c r="Y24" s="9">
        <v>1.0603E-2</v>
      </c>
      <c r="Z24" s="14">
        <v>1.593</v>
      </c>
      <c r="AA24" s="9" t="s">
        <v>85</v>
      </c>
      <c r="AB24" s="9">
        <v>0.31061500000000003</v>
      </c>
      <c r="AC24" s="10">
        <v>6.4329999999999995E-3</v>
      </c>
      <c r="AD24" s="10">
        <v>1.2230000000000001E-3</v>
      </c>
      <c r="AE24" s="9" t="s">
        <v>85</v>
      </c>
      <c r="AF24" s="9">
        <v>1.1307000000000001E-2</v>
      </c>
      <c r="AG24" s="9">
        <v>2.1731999999999998E-2</v>
      </c>
      <c r="AH24" s="9" t="s">
        <v>85</v>
      </c>
      <c r="AI24" s="10">
        <v>9.7799999999999992E-4</v>
      </c>
      <c r="AJ24" s="9" t="s">
        <v>85</v>
      </c>
      <c r="AK24" s="9" t="s">
        <v>85</v>
      </c>
      <c r="AL24" s="9" t="s">
        <v>85</v>
      </c>
      <c r="AM24" s="4" t="s">
        <v>2</v>
      </c>
      <c r="AN24" s="4" t="s">
        <v>2</v>
      </c>
    </row>
    <row r="25" spans="1:40" x14ac:dyDescent="0.3">
      <c r="A25" s="2">
        <v>24</v>
      </c>
      <c r="B25" s="2" t="s">
        <v>148</v>
      </c>
      <c r="C25" s="2" t="s">
        <v>157</v>
      </c>
      <c r="D25" s="2" t="s">
        <v>90</v>
      </c>
      <c r="E25" s="2" t="s">
        <v>91</v>
      </c>
      <c r="F25" s="2" t="s">
        <v>68</v>
      </c>
      <c r="G25" s="30">
        <v>30.578389999999999</v>
      </c>
      <c r="H25" s="30">
        <v>74.489857000000001</v>
      </c>
      <c r="I25" s="2" t="s">
        <v>39</v>
      </c>
      <c r="J25" s="2" t="s">
        <v>107</v>
      </c>
      <c r="K25" s="21">
        <v>0.1</v>
      </c>
      <c r="L25" s="8" t="s">
        <v>82</v>
      </c>
      <c r="M25" s="12">
        <v>3936</v>
      </c>
      <c r="N25" s="8" t="s">
        <v>83</v>
      </c>
      <c r="O25" s="14">
        <v>220.78</v>
      </c>
      <c r="P25" s="11">
        <v>714.7</v>
      </c>
      <c r="Q25" s="8">
        <v>0.55000000000000004</v>
      </c>
      <c r="R25" s="14">
        <v>185.57999999999998</v>
      </c>
      <c r="S25" s="12">
        <v>281.7</v>
      </c>
      <c r="T25" s="12">
        <v>1864.5</v>
      </c>
      <c r="U25" s="8" t="s">
        <v>86</v>
      </c>
      <c r="V25" s="11">
        <v>440</v>
      </c>
      <c r="W25" s="12">
        <v>1524.6</v>
      </c>
      <c r="X25" s="9">
        <v>4.0420000000000005E-3</v>
      </c>
      <c r="Y25" s="9">
        <v>1.1009E-2</v>
      </c>
      <c r="Z25" s="14">
        <v>1.5569999999999999</v>
      </c>
      <c r="AA25" s="9" t="s">
        <v>85</v>
      </c>
      <c r="AB25" s="9">
        <v>0.26949000000000001</v>
      </c>
      <c r="AC25" s="10">
        <v>1.567E-3</v>
      </c>
      <c r="AD25" s="10">
        <v>1.8749999999999999E-3</v>
      </c>
      <c r="AE25" s="9" t="s">
        <v>85</v>
      </c>
      <c r="AF25" s="9" t="s">
        <v>19</v>
      </c>
      <c r="AG25" s="9">
        <v>2.2945E-2</v>
      </c>
      <c r="AH25" s="9" t="s">
        <v>85</v>
      </c>
      <c r="AI25" s="10">
        <v>4.4349999999999997E-3</v>
      </c>
      <c r="AJ25" s="9" t="s">
        <v>85</v>
      </c>
      <c r="AK25" s="9" t="s">
        <v>85</v>
      </c>
      <c r="AL25" s="9" t="s">
        <v>85</v>
      </c>
      <c r="AM25" s="4" t="s">
        <v>2</v>
      </c>
      <c r="AN25" s="4" t="s">
        <v>2</v>
      </c>
    </row>
    <row r="26" spans="1:40" s="27" customFormat="1" x14ac:dyDescent="0.3">
      <c r="A26" s="22">
        <v>25</v>
      </c>
      <c r="B26" s="2" t="s">
        <v>148</v>
      </c>
      <c r="C26" s="2" t="s">
        <v>158</v>
      </c>
      <c r="D26" s="22" t="s">
        <v>89</v>
      </c>
      <c r="E26" s="22" t="s">
        <v>91</v>
      </c>
      <c r="F26" s="22" t="s">
        <v>69</v>
      </c>
      <c r="G26" s="30">
        <v>30.581375000000001</v>
      </c>
      <c r="H26" s="30">
        <v>74.465481999999994</v>
      </c>
      <c r="I26" s="22" t="s">
        <v>40</v>
      </c>
      <c r="J26" s="22" t="s">
        <v>106</v>
      </c>
      <c r="K26" s="22" t="s">
        <v>108</v>
      </c>
      <c r="L26" s="23" t="s">
        <v>82</v>
      </c>
      <c r="M26" s="23">
        <v>440</v>
      </c>
      <c r="N26" s="23" t="s">
        <v>83</v>
      </c>
      <c r="O26" s="24">
        <v>60.199999999999996</v>
      </c>
      <c r="P26" s="23">
        <v>25.8</v>
      </c>
      <c r="Q26" s="23">
        <v>0.23</v>
      </c>
      <c r="R26" s="24">
        <v>24.24</v>
      </c>
      <c r="S26" s="23">
        <v>35.4</v>
      </c>
      <c r="T26" s="23">
        <v>86.4</v>
      </c>
      <c r="U26" s="23" t="s">
        <v>86</v>
      </c>
      <c r="V26" s="23">
        <v>242</v>
      </c>
      <c r="W26" s="23">
        <v>225.7</v>
      </c>
      <c r="X26" s="24">
        <v>4.7660000000000003E-3</v>
      </c>
      <c r="Y26" s="24">
        <v>0.14021300000000003</v>
      </c>
      <c r="Z26" s="24">
        <v>0.178758</v>
      </c>
      <c r="AA26" s="24" t="s">
        <v>85</v>
      </c>
      <c r="AB26" s="24">
        <v>6.7280000000000006E-2</v>
      </c>
      <c r="AC26" s="24" t="s">
        <v>85</v>
      </c>
      <c r="AD26" s="24" t="s">
        <v>85</v>
      </c>
      <c r="AE26" s="24" t="s">
        <v>85</v>
      </c>
      <c r="AF26" s="24" t="s">
        <v>19</v>
      </c>
      <c r="AG26" s="24">
        <v>2.2986999999999997E-2</v>
      </c>
      <c r="AH26" s="24" t="s">
        <v>85</v>
      </c>
      <c r="AI26" s="25">
        <v>1.601E-3</v>
      </c>
      <c r="AJ26" s="24" t="s">
        <v>85</v>
      </c>
      <c r="AK26" s="25">
        <v>1.467E-3</v>
      </c>
      <c r="AL26" s="24" t="s">
        <v>85</v>
      </c>
      <c r="AM26" s="26" t="s">
        <v>2</v>
      </c>
      <c r="AN26" s="26" t="s">
        <v>23</v>
      </c>
    </row>
    <row r="27" spans="1:40" s="27" customFormat="1" x14ac:dyDescent="0.3">
      <c r="A27" s="22">
        <v>26</v>
      </c>
      <c r="B27" s="2" t="s">
        <v>148</v>
      </c>
      <c r="C27" s="2" t="s">
        <v>158</v>
      </c>
      <c r="D27" s="22" t="s">
        <v>92</v>
      </c>
      <c r="E27" s="22" t="s">
        <v>91</v>
      </c>
      <c r="F27" s="22" t="s">
        <v>70</v>
      </c>
      <c r="G27" s="30">
        <v>30.585808</v>
      </c>
      <c r="H27" s="30">
        <v>74.465289999999996</v>
      </c>
      <c r="I27" s="22" t="s">
        <v>40</v>
      </c>
      <c r="J27" s="22" t="s">
        <v>107</v>
      </c>
      <c r="K27" s="28">
        <v>0.1</v>
      </c>
      <c r="L27" s="23" t="s">
        <v>82</v>
      </c>
      <c r="M27" s="23">
        <v>882</v>
      </c>
      <c r="N27" s="23" t="s">
        <v>83</v>
      </c>
      <c r="O27" s="24">
        <v>74.509999999999991</v>
      </c>
      <c r="P27" s="23">
        <v>66.5</v>
      </c>
      <c r="Q27" s="23">
        <v>0.28999999999999998</v>
      </c>
      <c r="R27" s="24">
        <v>34.340000000000003</v>
      </c>
      <c r="S27" s="23">
        <v>64.8</v>
      </c>
      <c r="T27" s="23">
        <v>151.19999999999999</v>
      </c>
      <c r="U27" s="23" t="s">
        <v>86</v>
      </c>
      <c r="V27" s="23">
        <v>445.5</v>
      </c>
      <c r="W27" s="23">
        <v>445.5</v>
      </c>
      <c r="X27" s="24">
        <v>0.16209299999999999</v>
      </c>
      <c r="Y27" s="24">
        <v>0.16071700000000003</v>
      </c>
      <c r="Z27" s="24">
        <v>0.30299999999999999</v>
      </c>
      <c r="AA27" s="25">
        <v>1.6490000000000001E-3</v>
      </c>
      <c r="AB27" s="24">
        <v>0.45200000000000001</v>
      </c>
      <c r="AC27" s="25">
        <v>2.545E-2</v>
      </c>
      <c r="AD27" s="25">
        <v>1.686E-3</v>
      </c>
      <c r="AE27" s="25">
        <v>2.081E-3</v>
      </c>
      <c r="AF27" s="24">
        <v>3.7484999999999997E-2</v>
      </c>
      <c r="AG27" s="24">
        <v>1.2093999999999999E-2</v>
      </c>
      <c r="AH27" s="24" t="s">
        <v>85</v>
      </c>
      <c r="AI27" s="25">
        <v>1.0160000000000001E-2</v>
      </c>
      <c r="AJ27" s="24" t="s">
        <v>85</v>
      </c>
      <c r="AK27" s="24" t="s">
        <v>85</v>
      </c>
      <c r="AL27" s="24" t="s">
        <v>85</v>
      </c>
      <c r="AM27" s="26" t="s">
        <v>2</v>
      </c>
      <c r="AN27" s="26" t="s">
        <v>2</v>
      </c>
    </row>
    <row r="28" spans="1:40" s="27" customFormat="1" x14ac:dyDescent="0.3">
      <c r="A28" s="22">
        <v>27</v>
      </c>
      <c r="B28" s="2" t="s">
        <v>148</v>
      </c>
      <c r="C28" s="2" t="s">
        <v>158</v>
      </c>
      <c r="D28" s="22" t="s">
        <v>94</v>
      </c>
      <c r="E28" s="22" t="s">
        <v>25</v>
      </c>
      <c r="F28" s="22" t="s">
        <v>71</v>
      </c>
      <c r="G28" s="30">
        <v>30.599634999999999</v>
      </c>
      <c r="H28" s="30">
        <v>74.451515999999998</v>
      </c>
      <c r="I28" s="22" t="s">
        <v>108</v>
      </c>
      <c r="J28" s="22" t="s">
        <v>106</v>
      </c>
      <c r="K28" s="22" t="s">
        <v>108</v>
      </c>
      <c r="L28" s="23">
        <v>61.8</v>
      </c>
      <c r="M28" s="23">
        <v>164</v>
      </c>
      <c r="N28" s="23">
        <v>0.31</v>
      </c>
      <c r="O28" s="24">
        <v>29.32</v>
      </c>
      <c r="P28" s="23">
        <v>8.9</v>
      </c>
      <c r="Q28" s="23">
        <v>0.16</v>
      </c>
      <c r="R28" s="24">
        <v>5.8479999999999999</v>
      </c>
      <c r="S28" s="23">
        <v>12.6</v>
      </c>
      <c r="T28" s="23">
        <v>14.5</v>
      </c>
      <c r="U28" s="23" t="s">
        <v>86</v>
      </c>
      <c r="V28" s="23">
        <v>99</v>
      </c>
      <c r="W28" s="23">
        <v>104.9</v>
      </c>
      <c r="X28" s="24">
        <v>1.7330000000000001</v>
      </c>
      <c r="Y28" s="24">
        <v>7.3245000000000005E-2</v>
      </c>
      <c r="Z28" s="24">
        <v>0.27800000000000002</v>
      </c>
      <c r="AA28" s="25">
        <v>3.0899999999999999E-3</v>
      </c>
      <c r="AB28" s="24">
        <v>1.96</v>
      </c>
      <c r="AC28" s="25">
        <v>4.0212000000000005E-2</v>
      </c>
      <c r="AD28" s="25">
        <v>1.268E-3</v>
      </c>
      <c r="AE28" s="25">
        <v>2.2359999999999997E-3</v>
      </c>
      <c r="AF28" s="24">
        <v>1.0347E-2</v>
      </c>
      <c r="AG28" s="24">
        <v>2.0530000000000006E-3</v>
      </c>
      <c r="AH28" s="25">
        <v>1.518E-3</v>
      </c>
      <c r="AI28" s="25">
        <v>2.5560000000000001E-3</v>
      </c>
      <c r="AJ28" s="24">
        <v>2.7190000000000001E-3</v>
      </c>
      <c r="AK28" s="25">
        <v>2.7690000000000002E-3</v>
      </c>
      <c r="AL28" s="25">
        <v>3.4039999999999999E-3</v>
      </c>
      <c r="AM28" s="26" t="s">
        <v>23</v>
      </c>
      <c r="AN28" s="26" t="s">
        <v>23</v>
      </c>
    </row>
    <row r="29" spans="1:40" x14ac:dyDescent="0.3">
      <c r="A29" s="2">
        <v>28</v>
      </c>
      <c r="B29" s="2" t="s">
        <v>148</v>
      </c>
      <c r="C29" s="2" t="s">
        <v>159</v>
      </c>
      <c r="D29" s="2" t="s">
        <v>92</v>
      </c>
      <c r="E29" s="2" t="s">
        <v>91</v>
      </c>
      <c r="F29" s="2" t="s">
        <v>72</v>
      </c>
      <c r="G29" s="30">
        <v>30.612237</v>
      </c>
      <c r="H29" s="30">
        <v>74.442170000000004</v>
      </c>
      <c r="I29" s="2" t="s">
        <v>41</v>
      </c>
      <c r="J29" s="2" t="s">
        <v>107</v>
      </c>
      <c r="K29" s="21">
        <v>0.2</v>
      </c>
      <c r="L29" s="8" t="s">
        <v>82</v>
      </c>
      <c r="M29" s="8">
        <v>272</v>
      </c>
      <c r="N29" s="8" t="s">
        <v>83</v>
      </c>
      <c r="O29" s="9">
        <v>52.29</v>
      </c>
      <c r="P29" s="8">
        <v>17.899999999999999</v>
      </c>
      <c r="Q29" s="8" t="s">
        <v>84</v>
      </c>
      <c r="R29" s="9">
        <v>14.239999999999998</v>
      </c>
      <c r="S29" s="8">
        <v>16.399999999999999</v>
      </c>
      <c r="T29" s="8">
        <v>41.1</v>
      </c>
      <c r="U29" s="8" t="s">
        <v>86</v>
      </c>
      <c r="V29" s="8">
        <v>159.5</v>
      </c>
      <c r="W29" s="8">
        <v>162.4</v>
      </c>
      <c r="X29" s="9">
        <v>4.1809999999999998E-3</v>
      </c>
      <c r="Y29" s="9">
        <v>0.21666199999999999</v>
      </c>
      <c r="Z29" s="9">
        <v>6.7352000000000009E-2</v>
      </c>
      <c r="AA29" s="9" t="s">
        <v>85</v>
      </c>
      <c r="AB29" s="9">
        <v>0.123222</v>
      </c>
      <c r="AC29" s="10">
        <v>1.7420000000000001E-3</v>
      </c>
      <c r="AD29" s="9" t="s">
        <v>85</v>
      </c>
      <c r="AE29" s="9" t="s">
        <v>85</v>
      </c>
      <c r="AF29" s="9">
        <v>1.1401999999999999E-2</v>
      </c>
      <c r="AG29" s="9">
        <v>4.242000000000001E-3</v>
      </c>
      <c r="AH29" s="9" t="s">
        <v>85</v>
      </c>
      <c r="AI29" s="10">
        <v>1.663E-3</v>
      </c>
      <c r="AJ29" s="9" t="s">
        <v>85</v>
      </c>
      <c r="AK29" s="9" t="s">
        <v>85</v>
      </c>
      <c r="AL29" s="9" t="s">
        <v>85</v>
      </c>
      <c r="AM29" s="18" t="s">
        <v>23</v>
      </c>
      <c r="AN29" s="18" t="s">
        <v>23</v>
      </c>
    </row>
    <row r="30" spans="1:40" x14ac:dyDescent="0.3">
      <c r="A30" s="2">
        <v>29</v>
      </c>
      <c r="B30" s="2" t="s">
        <v>148</v>
      </c>
      <c r="C30" s="2" t="s">
        <v>159</v>
      </c>
      <c r="D30" s="2" t="s">
        <v>93</v>
      </c>
      <c r="E30" s="2" t="s">
        <v>24</v>
      </c>
      <c r="F30" s="2" t="s">
        <v>73</v>
      </c>
      <c r="G30" s="30">
        <v>30.599791</v>
      </c>
      <c r="H30" s="30">
        <v>74.451392999999996</v>
      </c>
      <c r="I30" s="2" t="s">
        <v>29</v>
      </c>
      <c r="J30" s="2" t="s">
        <v>107</v>
      </c>
      <c r="K30" s="21">
        <v>0.3</v>
      </c>
      <c r="L30" s="8" t="s">
        <v>82</v>
      </c>
      <c r="M30" s="8">
        <v>268</v>
      </c>
      <c r="N30" s="8" t="s">
        <v>83</v>
      </c>
      <c r="O30" s="9">
        <v>51.71</v>
      </c>
      <c r="P30" s="8">
        <v>13.9</v>
      </c>
      <c r="Q30" s="8" t="s">
        <v>84</v>
      </c>
      <c r="R30" s="9">
        <v>13.75</v>
      </c>
      <c r="S30" s="8">
        <v>22.4</v>
      </c>
      <c r="T30" s="8">
        <v>19.600000000000001</v>
      </c>
      <c r="U30" s="8" t="s">
        <v>86</v>
      </c>
      <c r="V30" s="8">
        <v>154</v>
      </c>
      <c r="W30" s="8">
        <v>148.5</v>
      </c>
      <c r="X30" s="9">
        <v>7.9830000000000005E-3</v>
      </c>
      <c r="Y30" s="9">
        <v>9.8394999999999996E-2</v>
      </c>
      <c r="Z30" s="9">
        <v>4.8901E-2</v>
      </c>
      <c r="AA30" s="9" t="s">
        <v>85</v>
      </c>
      <c r="AB30" s="9">
        <v>2.8611000000000001E-2</v>
      </c>
      <c r="AC30" s="10">
        <v>1.8586999999999999E-2</v>
      </c>
      <c r="AD30" s="9" t="s">
        <v>85</v>
      </c>
      <c r="AE30" s="9" t="s">
        <v>85</v>
      </c>
      <c r="AF30" s="9" t="s">
        <v>19</v>
      </c>
      <c r="AG30" s="9">
        <v>5.1480000000000007E-3</v>
      </c>
      <c r="AH30" s="9" t="s">
        <v>85</v>
      </c>
      <c r="AI30" s="10">
        <v>1.2919999999999997E-3</v>
      </c>
      <c r="AJ30" s="9" t="s">
        <v>85</v>
      </c>
      <c r="AK30" s="10">
        <v>1.2120000000000002E-3</v>
      </c>
      <c r="AL30" s="9" t="s">
        <v>85</v>
      </c>
      <c r="AM30" s="4" t="s">
        <v>2</v>
      </c>
      <c r="AN30" s="4" t="s">
        <v>2</v>
      </c>
    </row>
    <row r="31" spans="1:40" x14ac:dyDescent="0.3">
      <c r="A31" s="2">
        <v>30</v>
      </c>
      <c r="B31" s="2" t="s">
        <v>146</v>
      </c>
      <c r="C31" s="2" t="s">
        <v>160</v>
      </c>
      <c r="D31" s="2" t="s">
        <v>92</v>
      </c>
      <c r="E31" s="2" t="s">
        <v>91</v>
      </c>
      <c r="F31" s="2" t="s">
        <v>74</v>
      </c>
      <c r="G31" s="30">
        <v>30.447728000000001</v>
      </c>
      <c r="H31" s="30">
        <v>74.692279999999997</v>
      </c>
      <c r="I31" s="2" t="s">
        <v>33</v>
      </c>
      <c r="J31" s="2" t="s">
        <v>107</v>
      </c>
      <c r="K31" s="21">
        <v>0.1</v>
      </c>
      <c r="L31" s="8" t="s">
        <v>82</v>
      </c>
      <c r="M31" s="11">
        <v>1918</v>
      </c>
      <c r="N31" s="8" t="s">
        <v>83</v>
      </c>
      <c r="O31" s="9">
        <v>26.840000000000003</v>
      </c>
      <c r="P31" s="8">
        <v>198.5</v>
      </c>
      <c r="Q31" s="8">
        <v>0.31</v>
      </c>
      <c r="R31" s="13">
        <v>31.31</v>
      </c>
      <c r="S31" s="8">
        <v>39.4</v>
      </c>
      <c r="T31" s="12">
        <v>579.20000000000005</v>
      </c>
      <c r="U31" s="8" t="s">
        <v>86</v>
      </c>
      <c r="V31" s="12">
        <v>616</v>
      </c>
      <c r="W31" s="8">
        <v>178.2</v>
      </c>
      <c r="X31" s="9">
        <v>3.8909999999999999E-3</v>
      </c>
      <c r="Y31" s="9">
        <v>1.4527E-2</v>
      </c>
      <c r="Z31" s="14">
        <v>2.33</v>
      </c>
      <c r="AA31" s="9" t="s">
        <v>85</v>
      </c>
      <c r="AB31" s="9">
        <v>3.2223999999999996E-2</v>
      </c>
      <c r="AC31" s="9" t="s">
        <v>85</v>
      </c>
      <c r="AD31" s="10">
        <v>6.8570000000000002E-3</v>
      </c>
      <c r="AE31" s="9" t="s">
        <v>85</v>
      </c>
      <c r="AF31" s="9">
        <v>1.779E-2</v>
      </c>
      <c r="AG31" s="14">
        <v>4.6778E-2</v>
      </c>
      <c r="AH31" s="10">
        <v>1.5770000000000001E-3</v>
      </c>
      <c r="AI31" s="10">
        <v>1.6990999999999999E-2</v>
      </c>
      <c r="AJ31" s="9" t="s">
        <v>85</v>
      </c>
      <c r="AK31" s="10">
        <v>1.756E-3</v>
      </c>
      <c r="AL31" s="10">
        <v>1.2999999999999999E-2</v>
      </c>
      <c r="AM31" s="4" t="s">
        <v>2</v>
      </c>
      <c r="AN31" s="4" t="s">
        <v>2</v>
      </c>
    </row>
    <row r="32" spans="1:40" x14ac:dyDescent="0.3">
      <c r="A32" s="2">
        <v>31</v>
      </c>
      <c r="B32" s="2" t="s">
        <v>146</v>
      </c>
      <c r="C32" s="2" t="s">
        <v>160</v>
      </c>
      <c r="D32" s="2" t="s">
        <v>89</v>
      </c>
      <c r="E32" s="2" t="s">
        <v>24</v>
      </c>
      <c r="F32" s="2" t="s">
        <v>75</v>
      </c>
      <c r="G32" s="30">
        <v>30.452207999999999</v>
      </c>
      <c r="H32" s="30">
        <v>74.698280999999994</v>
      </c>
      <c r="I32" s="2" t="s">
        <v>35</v>
      </c>
      <c r="J32" s="2" t="s">
        <v>106</v>
      </c>
      <c r="K32" s="2" t="s">
        <v>108</v>
      </c>
      <c r="L32" s="8" t="s">
        <v>82</v>
      </c>
      <c r="M32" s="11">
        <v>1328</v>
      </c>
      <c r="N32" s="8" t="s">
        <v>83</v>
      </c>
      <c r="O32" s="9">
        <v>41.78</v>
      </c>
      <c r="P32" s="8">
        <v>74.400000000000006</v>
      </c>
      <c r="Q32" s="8">
        <v>0.24</v>
      </c>
      <c r="R32" s="13">
        <v>38.22</v>
      </c>
      <c r="S32" s="8">
        <v>29.4</v>
      </c>
      <c r="T32" s="11">
        <v>267.8</v>
      </c>
      <c r="U32" s="8" t="s">
        <v>86</v>
      </c>
      <c r="V32" s="12">
        <v>676.5</v>
      </c>
      <c r="W32" s="11">
        <v>227.7</v>
      </c>
      <c r="X32" s="9">
        <v>1.4119999999999998E-3</v>
      </c>
      <c r="Y32" s="9">
        <v>2.3793999999999999E-2</v>
      </c>
      <c r="Z32" s="14">
        <v>1.522</v>
      </c>
      <c r="AA32" s="9" t="s">
        <v>85</v>
      </c>
      <c r="AB32" s="9">
        <v>2.3254E-2</v>
      </c>
      <c r="AC32" s="9" t="s">
        <v>85</v>
      </c>
      <c r="AD32" s="10">
        <v>2.4120000000000005E-3</v>
      </c>
      <c r="AE32" s="9" t="s">
        <v>85</v>
      </c>
      <c r="AF32" s="9" t="s">
        <v>19</v>
      </c>
      <c r="AG32" s="14">
        <v>3.9109999999999999E-2</v>
      </c>
      <c r="AH32" s="9" t="s">
        <v>85</v>
      </c>
      <c r="AI32" s="10">
        <v>7.2629999999999995E-3</v>
      </c>
      <c r="AJ32" s="9" t="s">
        <v>85</v>
      </c>
      <c r="AK32" s="10">
        <v>2.1230000000000003E-3</v>
      </c>
      <c r="AL32" s="10">
        <v>4.6769999999999997E-3</v>
      </c>
      <c r="AM32" s="4" t="s">
        <v>2</v>
      </c>
      <c r="AN32" s="18" t="s">
        <v>23</v>
      </c>
    </row>
    <row r="33" spans="1:40" x14ac:dyDescent="0.3">
      <c r="A33" s="2">
        <v>32</v>
      </c>
      <c r="B33" s="2" t="s">
        <v>146</v>
      </c>
      <c r="C33" s="2" t="s">
        <v>160</v>
      </c>
      <c r="D33" s="2" t="s">
        <v>95</v>
      </c>
      <c r="E33" s="2" t="s">
        <v>91</v>
      </c>
      <c r="F33" s="2" t="s">
        <v>76</v>
      </c>
      <c r="G33" s="30">
        <v>30.461317999999999</v>
      </c>
      <c r="H33" s="30">
        <v>74.701459</v>
      </c>
      <c r="I33" s="2" t="s">
        <v>33</v>
      </c>
      <c r="J33" s="2" t="s">
        <v>107</v>
      </c>
      <c r="K33" s="21">
        <v>0.1</v>
      </c>
      <c r="L33" s="8" t="s">
        <v>82</v>
      </c>
      <c r="M33" s="8">
        <v>334</v>
      </c>
      <c r="N33" s="8" t="s">
        <v>83</v>
      </c>
      <c r="O33" s="9">
        <v>47.76</v>
      </c>
      <c r="P33" s="8">
        <v>11.9</v>
      </c>
      <c r="Q33" s="8">
        <v>0.16</v>
      </c>
      <c r="R33" s="9">
        <v>26.66</v>
      </c>
      <c r="S33" s="8">
        <v>19.399999999999999</v>
      </c>
      <c r="T33" s="8">
        <v>25.4</v>
      </c>
      <c r="U33" s="8" t="s">
        <v>86</v>
      </c>
      <c r="V33" s="8">
        <v>192.5</v>
      </c>
      <c r="W33" s="11">
        <v>257.39999999999998</v>
      </c>
      <c r="X33" s="9">
        <v>1.2150000000000002E-3</v>
      </c>
      <c r="Y33" s="9">
        <v>7.7647999999999995E-2</v>
      </c>
      <c r="Z33" s="9">
        <v>0.135328</v>
      </c>
      <c r="AA33" s="9" t="s">
        <v>85</v>
      </c>
      <c r="AB33" s="9">
        <v>4.8528999999999996E-2</v>
      </c>
      <c r="AC33" s="10">
        <v>3.7628000000000002E-2</v>
      </c>
      <c r="AD33" s="9" t="s">
        <v>85</v>
      </c>
      <c r="AE33" s="9" t="s">
        <v>85</v>
      </c>
      <c r="AF33" s="9" t="s">
        <v>19</v>
      </c>
      <c r="AG33" s="9">
        <v>1.3594000000000002E-2</v>
      </c>
      <c r="AH33" s="9" t="s">
        <v>85</v>
      </c>
      <c r="AI33" s="10">
        <v>1.173E-3</v>
      </c>
      <c r="AJ33" s="9" t="s">
        <v>85</v>
      </c>
      <c r="AK33" s="9" t="s">
        <v>85</v>
      </c>
      <c r="AL33" s="9" t="s">
        <v>85</v>
      </c>
      <c r="AM33" s="4" t="s">
        <v>2</v>
      </c>
      <c r="AN33" s="4" t="s">
        <v>2</v>
      </c>
    </row>
    <row r="34" spans="1:40" x14ac:dyDescent="0.3">
      <c r="A34" s="2">
        <v>33</v>
      </c>
      <c r="B34" s="2" t="s">
        <v>146</v>
      </c>
      <c r="C34" s="2" t="s">
        <v>160</v>
      </c>
      <c r="D34" s="2" t="s">
        <v>93</v>
      </c>
      <c r="E34" s="2" t="s">
        <v>24</v>
      </c>
      <c r="F34" s="2" t="s">
        <v>77</v>
      </c>
      <c r="G34" s="30">
        <v>30.452877999999998</v>
      </c>
      <c r="H34" s="30">
        <v>74.712288000000001</v>
      </c>
      <c r="I34" s="2" t="s">
        <v>41</v>
      </c>
      <c r="J34" s="2" t="s">
        <v>107</v>
      </c>
      <c r="K34" s="21">
        <v>0.2</v>
      </c>
      <c r="L34" s="8" t="s">
        <v>82</v>
      </c>
      <c r="M34" s="11">
        <v>626</v>
      </c>
      <c r="N34" s="8" t="s">
        <v>83</v>
      </c>
      <c r="O34" s="9">
        <v>59.660000000000004</v>
      </c>
      <c r="P34" s="8">
        <v>48.6</v>
      </c>
      <c r="Q34" s="8">
        <v>0.39</v>
      </c>
      <c r="R34" s="13">
        <v>36.28</v>
      </c>
      <c r="S34" s="8">
        <v>32.799999999999997</v>
      </c>
      <c r="T34" s="8">
        <v>114.5</v>
      </c>
      <c r="U34" s="8" t="s">
        <v>86</v>
      </c>
      <c r="V34" s="11">
        <v>280.5</v>
      </c>
      <c r="W34" s="11">
        <v>277.2</v>
      </c>
      <c r="X34" s="9">
        <v>1.9359999999999998E-3</v>
      </c>
      <c r="Y34" s="9">
        <v>8.6929000000000006E-2</v>
      </c>
      <c r="Z34" s="13">
        <v>0.53700000000000003</v>
      </c>
      <c r="AA34" s="9" t="s">
        <v>85</v>
      </c>
      <c r="AB34" s="9">
        <v>4.5600999999999996E-2</v>
      </c>
      <c r="AC34" s="9" t="s">
        <v>85</v>
      </c>
      <c r="AD34" s="9" t="s">
        <v>85</v>
      </c>
      <c r="AE34" s="9" t="s">
        <v>85</v>
      </c>
      <c r="AF34" s="9" t="s">
        <v>19</v>
      </c>
      <c r="AG34" s="9">
        <v>2.8062999999999998E-2</v>
      </c>
      <c r="AH34" s="9" t="s">
        <v>85</v>
      </c>
      <c r="AI34" s="10">
        <v>4.1250000000000002E-3</v>
      </c>
      <c r="AJ34" s="9" t="s">
        <v>85</v>
      </c>
      <c r="AK34" s="9" t="s">
        <v>85</v>
      </c>
      <c r="AL34" s="9" t="s">
        <v>85</v>
      </c>
      <c r="AM34" s="4" t="s">
        <v>2</v>
      </c>
      <c r="AN34" s="4" t="s">
        <v>2</v>
      </c>
    </row>
    <row r="35" spans="1:40" x14ac:dyDescent="0.3">
      <c r="A35" s="2">
        <v>34</v>
      </c>
      <c r="B35" s="2" t="s">
        <v>146</v>
      </c>
      <c r="C35" s="2" t="s">
        <v>161</v>
      </c>
      <c r="D35" s="2" t="s">
        <v>89</v>
      </c>
      <c r="E35" s="2" t="s">
        <v>24</v>
      </c>
      <c r="F35" s="2" t="s">
        <v>78</v>
      </c>
      <c r="G35" s="30">
        <v>30.397925000000001</v>
      </c>
      <c r="H35" s="30">
        <v>74.664947999999995</v>
      </c>
      <c r="I35" s="2" t="s">
        <v>42</v>
      </c>
      <c r="J35" s="2" t="s">
        <v>106</v>
      </c>
      <c r="K35" s="2" t="s">
        <v>108</v>
      </c>
      <c r="L35" s="8" t="s">
        <v>82</v>
      </c>
      <c r="M35" s="12">
        <v>2632</v>
      </c>
      <c r="N35" s="8" t="s">
        <v>83</v>
      </c>
      <c r="O35" s="13">
        <v>103.80000000000001</v>
      </c>
      <c r="P35" s="11">
        <v>456.6</v>
      </c>
      <c r="Q35" s="8">
        <v>0.72</v>
      </c>
      <c r="R35" s="14">
        <v>115.00999999999999</v>
      </c>
      <c r="S35" s="12">
        <v>196.4</v>
      </c>
      <c r="T35" s="8">
        <v>680.3</v>
      </c>
      <c r="U35" s="8" t="s">
        <v>86</v>
      </c>
      <c r="V35" s="12">
        <v>709.5</v>
      </c>
      <c r="W35" s="12">
        <v>782.1</v>
      </c>
      <c r="X35" s="9">
        <v>4.359E-3</v>
      </c>
      <c r="Y35" s="9">
        <v>5.0259999999999999E-2</v>
      </c>
      <c r="Z35" s="14">
        <v>1.575</v>
      </c>
      <c r="AA35" s="9" t="s">
        <v>85</v>
      </c>
      <c r="AB35" s="9">
        <v>8.6980999999999989E-2</v>
      </c>
      <c r="AC35" s="10">
        <v>3.5769999999999999E-3</v>
      </c>
      <c r="AD35" s="10">
        <v>1.4470000000000002E-3</v>
      </c>
      <c r="AE35" s="9" t="s">
        <v>85</v>
      </c>
      <c r="AF35" s="9" t="s">
        <v>19</v>
      </c>
      <c r="AG35" s="14">
        <v>4.2093999999999999E-2</v>
      </c>
      <c r="AH35" s="9" t="s">
        <v>85</v>
      </c>
      <c r="AI35" s="10">
        <v>6.7800000000000004E-3</v>
      </c>
      <c r="AJ35" s="9" t="s">
        <v>85</v>
      </c>
      <c r="AK35" s="10">
        <v>1.1140000000000002E-3</v>
      </c>
      <c r="AL35" s="9" t="s">
        <v>85</v>
      </c>
      <c r="AM35" s="4" t="s">
        <v>2</v>
      </c>
      <c r="AN35" s="18" t="s">
        <v>23</v>
      </c>
    </row>
    <row r="36" spans="1:40" x14ac:dyDescent="0.3">
      <c r="A36" s="2">
        <v>35</v>
      </c>
      <c r="B36" s="2" t="s">
        <v>146</v>
      </c>
      <c r="C36" s="2" t="s">
        <v>161</v>
      </c>
      <c r="D36" s="2" t="s">
        <v>93</v>
      </c>
      <c r="E36" s="2" t="s">
        <v>24</v>
      </c>
      <c r="F36" s="2" t="s">
        <v>79</v>
      </c>
      <c r="G36" s="30">
        <v>30.403292</v>
      </c>
      <c r="H36" s="30">
        <v>74.671379999999999</v>
      </c>
      <c r="I36" s="2" t="s">
        <v>43</v>
      </c>
      <c r="J36" s="2" t="s">
        <v>107</v>
      </c>
      <c r="K36" s="21">
        <v>0.2</v>
      </c>
      <c r="L36" s="8" t="s">
        <v>82</v>
      </c>
      <c r="M36" s="11">
        <v>1928</v>
      </c>
      <c r="N36" s="8" t="s">
        <v>83</v>
      </c>
      <c r="O36" s="9">
        <v>29.700000000000003</v>
      </c>
      <c r="P36" s="8">
        <v>218.4</v>
      </c>
      <c r="Q36" s="8">
        <v>0.28999999999999998</v>
      </c>
      <c r="R36" s="13">
        <v>31.58</v>
      </c>
      <c r="S36" s="12">
        <v>176.4</v>
      </c>
      <c r="T36" s="12">
        <v>469.6</v>
      </c>
      <c r="U36" s="8" t="s">
        <v>86</v>
      </c>
      <c r="V36" s="11">
        <v>511.5</v>
      </c>
      <c r="W36" s="11">
        <v>247.5</v>
      </c>
      <c r="X36" s="9">
        <v>5.5719999999999997E-3</v>
      </c>
      <c r="Y36" s="9">
        <v>3.7115000000000002E-2</v>
      </c>
      <c r="Z36" s="14">
        <v>2.1659999999999999</v>
      </c>
      <c r="AA36" s="9" t="s">
        <v>85</v>
      </c>
      <c r="AB36" s="9">
        <v>1.8518999999999997E-2</v>
      </c>
      <c r="AC36" s="9" t="s">
        <v>85</v>
      </c>
      <c r="AD36" s="10">
        <v>2.7220000000000005E-3</v>
      </c>
      <c r="AE36" s="9" t="s">
        <v>85</v>
      </c>
      <c r="AF36" s="9" t="s">
        <v>19</v>
      </c>
      <c r="AG36" s="14">
        <v>8.1345999999999988E-2</v>
      </c>
      <c r="AH36" s="9" t="s">
        <v>85</v>
      </c>
      <c r="AI36" s="10">
        <v>2.6557999999999998E-2</v>
      </c>
      <c r="AJ36" s="9" t="s">
        <v>85</v>
      </c>
      <c r="AK36" s="10">
        <v>1.0128E-2</v>
      </c>
      <c r="AL36" s="10">
        <v>5.79E-3</v>
      </c>
      <c r="AM36" s="4" t="s">
        <v>2</v>
      </c>
      <c r="AN36" s="4" t="s">
        <v>2</v>
      </c>
    </row>
    <row r="37" spans="1:40" ht="28.8" x14ac:dyDescent="0.3">
      <c r="A37" s="2">
        <v>36</v>
      </c>
      <c r="B37" s="2" t="s">
        <v>146</v>
      </c>
      <c r="C37" s="2" t="s">
        <v>161</v>
      </c>
      <c r="D37" s="2" t="s">
        <v>92</v>
      </c>
      <c r="E37" s="2" t="s">
        <v>91</v>
      </c>
      <c r="F37" s="2" t="s">
        <v>80</v>
      </c>
      <c r="G37" s="30">
        <v>30.397500000000001</v>
      </c>
      <c r="H37" s="30">
        <v>74.674790000000002</v>
      </c>
      <c r="I37" s="2" t="s">
        <v>44</v>
      </c>
      <c r="J37" s="2" t="s">
        <v>107</v>
      </c>
      <c r="K37" s="21">
        <v>0.1</v>
      </c>
      <c r="L37" s="8" t="s">
        <v>82</v>
      </c>
      <c r="M37" s="8">
        <v>378</v>
      </c>
      <c r="N37" s="8" t="s">
        <v>83</v>
      </c>
      <c r="O37" s="9">
        <v>43.010000000000005</v>
      </c>
      <c r="P37" s="8">
        <v>31.8</v>
      </c>
      <c r="Q37" s="8">
        <v>0.25</v>
      </c>
      <c r="R37" s="9">
        <v>19.690000000000001</v>
      </c>
      <c r="S37" s="8">
        <v>28.4</v>
      </c>
      <c r="T37" s="8">
        <v>32.6</v>
      </c>
      <c r="U37" s="8" t="s">
        <v>86</v>
      </c>
      <c r="V37" s="8">
        <v>143</v>
      </c>
      <c r="W37" s="11">
        <v>267.3</v>
      </c>
      <c r="X37" s="9">
        <v>5.2880000000000002E-3</v>
      </c>
      <c r="Y37" s="9">
        <v>0.15244300000000002</v>
      </c>
      <c r="Z37" s="9">
        <v>0.35799999999999998</v>
      </c>
      <c r="AA37" s="9" t="s">
        <v>85</v>
      </c>
      <c r="AB37" s="9">
        <v>8.7061000000000013E-2</v>
      </c>
      <c r="AC37" s="10">
        <v>4.1240000000000001E-3</v>
      </c>
      <c r="AD37" s="9" t="s">
        <v>85</v>
      </c>
      <c r="AE37" s="9" t="s">
        <v>85</v>
      </c>
      <c r="AF37" s="9">
        <v>2.0209000000000001E-2</v>
      </c>
      <c r="AG37" s="9">
        <v>5.2500000000000003E-3</v>
      </c>
      <c r="AH37" s="9" t="s">
        <v>85</v>
      </c>
      <c r="AI37" s="10">
        <v>2.9370000000000004E-3</v>
      </c>
      <c r="AJ37" s="9" t="s">
        <v>85</v>
      </c>
      <c r="AK37" s="9" t="s">
        <v>85</v>
      </c>
      <c r="AL37" s="9" t="s">
        <v>85</v>
      </c>
      <c r="AM37" s="4" t="s">
        <v>2</v>
      </c>
      <c r="AN37" s="4" t="s">
        <v>2</v>
      </c>
    </row>
    <row r="38" spans="1:40" x14ac:dyDescent="0.3">
      <c r="A38" s="2">
        <v>37</v>
      </c>
      <c r="B38" s="2" t="s">
        <v>146</v>
      </c>
      <c r="C38" s="2" t="s">
        <v>161</v>
      </c>
      <c r="D38" s="2" t="s">
        <v>98</v>
      </c>
      <c r="E38" s="2" t="s">
        <v>97</v>
      </c>
      <c r="F38" s="2" t="s">
        <v>81</v>
      </c>
      <c r="G38" s="30">
        <v>30.406224999999999</v>
      </c>
      <c r="H38" s="30">
        <v>74.666642999999993</v>
      </c>
      <c r="I38" s="2" t="s">
        <v>108</v>
      </c>
      <c r="J38" s="2" t="s">
        <v>109</v>
      </c>
      <c r="K38" s="21">
        <v>0.5</v>
      </c>
      <c r="L38" s="8" t="s">
        <v>82</v>
      </c>
      <c r="M38" s="8">
        <v>200</v>
      </c>
      <c r="N38" s="8" t="s">
        <v>83</v>
      </c>
      <c r="O38" s="9">
        <v>5.8330000000000002</v>
      </c>
      <c r="P38" s="8">
        <v>31.8</v>
      </c>
      <c r="Q38" s="8" t="s">
        <v>84</v>
      </c>
      <c r="R38" s="9">
        <v>3.9319999999999999</v>
      </c>
      <c r="S38" s="8">
        <v>11.5</v>
      </c>
      <c r="T38" s="8">
        <v>21.4</v>
      </c>
      <c r="U38" s="8" t="s">
        <v>86</v>
      </c>
      <c r="V38" s="8">
        <v>49.5</v>
      </c>
      <c r="W38" s="8">
        <v>39.6</v>
      </c>
      <c r="X38" s="9">
        <v>3.875E-3</v>
      </c>
      <c r="Y38" s="9" t="s">
        <v>19</v>
      </c>
      <c r="Z38" s="13">
        <v>0.998</v>
      </c>
      <c r="AA38" s="9" t="s">
        <v>85</v>
      </c>
      <c r="AB38" s="9" t="s">
        <v>19</v>
      </c>
      <c r="AC38" s="9" t="s">
        <v>85</v>
      </c>
      <c r="AD38" s="9" t="s">
        <v>85</v>
      </c>
      <c r="AE38" s="9" t="s">
        <v>85</v>
      </c>
      <c r="AF38" s="9" t="s">
        <v>19</v>
      </c>
      <c r="AG38" s="9">
        <v>2.666E-3</v>
      </c>
      <c r="AH38" s="9" t="s">
        <v>85</v>
      </c>
      <c r="AI38" s="9" t="s">
        <v>85</v>
      </c>
      <c r="AJ38" s="9" t="s">
        <v>85</v>
      </c>
      <c r="AK38" s="9" t="s">
        <v>85</v>
      </c>
      <c r="AL38" s="9" t="s">
        <v>85</v>
      </c>
      <c r="AM38" s="4" t="s">
        <v>2</v>
      </c>
      <c r="AN38" s="4" t="s">
        <v>2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9092-563C-4E23-B2A7-6E57ED949F02}">
  <dimension ref="A1:E41"/>
  <sheetViews>
    <sheetView topLeftCell="A14" zoomScale="85" zoomScaleNormal="85" workbookViewId="0">
      <selection activeCell="H29" sqref="H29"/>
    </sheetView>
  </sheetViews>
  <sheetFormatPr defaultColWidth="9.33203125" defaultRowHeight="18" x14ac:dyDescent="0.35"/>
  <cols>
    <col min="1" max="1" width="16.109375" style="6" customWidth="1"/>
    <col min="2" max="2" width="39" style="20" customWidth="1"/>
    <col min="3" max="3" width="15" style="7" bestFit="1" customWidth="1"/>
    <col min="4" max="4" width="15.33203125" style="7" bestFit="1" customWidth="1"/>
    <col min="5" max="5" width="15.44140625" style="7" bestFit="1" customWidth="1"/>
    <col min="6" max="16384" width="9.33203125" style="6"/>
  </cols>
  <sheetData>
    <row r="1" spans="1:5" x14ac:dyDescent="0.35">
      <c r="A1" s="1" t="s">
        <v>102</v>
      </c>
      <c r="B1" s="19" t="s">
        <v>3</v>
      </c>
      <c r="C1" s="1" t="s">
        <v>99</v>
      </c>
      <c r="D1" s="1" t="s">
        <v>110</v>
      </c>
      <c r="E1" s="1" t="s">
        <v>111</v>
      </c>
    </row>
    <row r="2" spans="1:5" x14ac:dyDescent="0.35">
      <c r="A2" s="4">
        <v>1</v>
      </c>
      <c r="B2" s="5" t="s">
        <v>4</v>
      </c>
      <c r="C2" s="4" t="s">
        <v>5</v>
      </c>
      <c r="D2" s="4">
        <v>5</v>
      </c>
      <c r="E2" s="4">
        <v>15</v>
      </c>
    </row>
    <row r="3" spans="1:5" x14ac:dyDescent="0.35">
      <c r="A3" s="4">
        <v>2</v>
      </c>
      <c r="B3" s="5" t="s">
        <v>6</v>
      </c>
      <c r="C3" s="4" t="s">
        <v>8</v>
      </c>
      <c r="D3" s="4" t="s">
        <v>7</v>
      </c>
      <c r="E3" s="4" t="s">
        <v>7</v>
      </c>
    </row>
    <row r="4" spans="1:5" x14ac:dyDescent="0.35">
      <c r="A4" s="4">
        <v>3</v>
      </c>
      <c r="B4" s="5" t="s">
        <v>9</v>
      </c>
      <c r="C4" s="4" t="s">
        <v>8</v>
      </c>
      <c r="D4" s="4" t="s">
        <v>10</v>
      </c>
      <c r="E4" s="4" t="s">
        <v>11</v>
      </c>
    </row>
    <row r="5" spans="1:5" x14ac:dyDescent="0.35">
      <c r="A5" s="4">
        <v>4</v>
      </c>
      <c r="B5" s="5" t="s">
        <v>12</v>
      </c>
      <c r="C5" s="3" t="s">
        <v>8</v>
      </c>
      <c r="D5" s="3" t="s">
        <v>7</v>
      </c>
      <c r="E5" s="3" t="s">
        <v>7</v>
      </c>
    </row>
    <row r="6" spans="1:5" x14ac:dyDescent="0.35">
      <c r="A6" s="4">
        <v>5</v>
      </c>
      <c r="B6" s="5" t="s">
        <v>13</v>
      </c>
      <c r="C6" s="4" t="s">
        <v>14</v>
      </c>
      <c r="D6" s="4">
        <v>1</v>
      </c>
      <c r="E6" s="4">
        <v>5</v>
      </c>
    </row>
    <row r="7" spans="1:5" x14ac:dyDescent="0.35">
      <c r="A7" s="4">
        <v>6</v>
      </c>
      <c r="B7" s="5" t="s">
        <v>139</v>
      </c>
      <c r="C7" s="4" t="s">
        <v>0</v>
      </c>
      <c r="D7" s="4">
        <v>500</v>
      </c>
      <c r="E7" s="4">
        <v>2000</v>
      </c>
    </row>
    <row r="8" spans="1:5" x14ac:dyDescent="0.35">
      <c r="A8" s="4">
        <v>7</v>
      </c>
      <c r="B8" s="5" t="s">
        <v>112</v>
      </c>
      <c r="C8" s="4" t="s">
        <v>0</v>
      </c>
      <c r="D8" s="4">
        <v>0.5</v>
      </c>
      <c r="E8" s="4" t="s">
        <v>11</v>
      </c>
    </row>
    <row r="9" spans="1:5" x14ac:dyDescent="0.35">
      <c r="A9" s="4">
        <v>8</v>
      </c>
      <c r="B9" s="5" t="s">
        <v>113</v>
      </c>
      <c r="C9" s="4" t="s">
        <v>0</v>
      </c>
      <c r="D9" s="4">
        <v>0.2</v>
      </c>
      <c r="E9" s="4">
        <v>1</v>
      </c>
    </row>
    <row r="10" spans="1:5" x14ac:dyDescent="0.35">
      <c r="A10" s="4">
        <v>9</v>
      </c>
      <c r="B10" s="5" t="s">
        <v>114</v>
      </c>
      <c r="C10" s="4" t="s">
        <v>0</v>
      </c>
      <c r="D10" s="4">
        <v>75</v>
      </c>
      <c r="E10" s="4">
        <v>200</v>
      </c>
    </row>
    <row r="11" spans="1:5" x14ac:dyDescent="0.35">
      <c r="A11" s="4">
        <v>10</v>
      </c>
      <c r="B11" s="5" t="s">
        <v>115</v>
      </c>
      <c r="C11" s="4" t="s">
        <v>0</v>
      </c>
      <c r="D11" s="4">
        <v>4</v>
      </c>
      <c r="E11" s="4" t="s">
        <v>11</v>
      </c>
    </row>
    <row r="12" spans="1:5" x14ac:dyDescent="0.35">
      <c r="A12" s="4">
        <v>11</v>
      </c>
      <c r="B12" s="5" t="s">
        <v>116</v>
      </c>
      <c r="C12" s="4" t="s">
        <v>0</v>
      </c>
      <c r="D12" s="4">
        <v>250</v>
      </c>
      <c r="E12" s="4">
        <v>1000</v>
      </c>
    </row>
    <row r="13" spans="1:5" x14ac:dyDescent="0.35">
      <c r="A13" s="4">
        <v>12</v>
      </c>
      <c r="B13" s="5" t="s">
        <v>117</v>
      </c>
      <c r="C13" s="4" t="s">
        <v>0</v>
      </c>
      <c r="D13" s="4">
        <v>1</v>
      </c>
      <c r="E13" s="4">
        <v>1.5</v>
      </c>
    </row>
    <row r="14" spans="1:5" x14ac:dyDescent="0.35">
      <c r="A14" s="4">
        <v>13</v>
      </c>
      <c r="B14" s="5" t="s">
        <v>15</v>
      </c>
      <c r="C14" s="4" t="s">
        <v>0</v>
      </c>
      <c r="D14" s="4" t="s">
        <v>16</v>
      </c>
      <c r="E14" s="4" t="s">
        <v>17</v>
      </c>
    </row>
    <row r="15" spans="1:5" x14ac:dyDescent="0.35">
      <c r="A15" s="4">
        <v>14</v>
      </c>
      <c r="B15" s="5" t="s">
        <v>118</v>
      </c>
      <c r="C15" s="4" t="s">
        <v>0</v>
      </c>
      <c r="D15" s="4">
        <v>30</v>
      </c>
      <c r="E15" s="4">
        <v>100</v>
      </c>
    </row>
    <row r="16" spans="1:5" x14ac:dyDescent="0.35">
      <c r="A16" s="4">
        <v>15</v>
      </c>
      <c r="B16" s="5" t="s">
        <v>141</v>
      </c>
      <c r="C16" s="4" t="s">
        <v>0</v>
      </c>
      <c r="D16" s="4">
        <v>45</v>
      </c>
      <c r="E16" s="4" t="s">
        <v>11</v>
      </c>
    </row>
    <row r="17" spans="1:5" x14ac:dyDescent="0.35">
      <c r="A17" s="4">
        <v>16</v>
      </c>
      <c r="B17" s="5" t="s">
        <v>18</v>
      </c>
      <c r="C17" s="4" t="s">
        <v>0</v>
      </c>
      <c r="D17" s="4">
        <v>1E-3</v>
      </c>
      <c r="E17" s="4">
        <v>2E-3</v>
      </c>
    </row>
    <row r="18" spans="1:5" x14ac:dyDescent="0.35">
      <c r="A18" s="4">
        <v>17</v>
      </c>
      <c r="B18" s="5" t="s">
        <v>119</v>
      </c>
      <c r="C18" s="4" t="s">
        <v>0</v>
      </c>
      <c r="D18" s="4">
        <v>200</v>
      </c>
      <c r="E18" s="4">
        <v>400</v>
      </c>
    </row>
    <row r="19" spans="1:5" s="34" customFormat="1" x14ac:dyDescent="0.35">
      <c r="A19" s="32">
        <v>18</v>
      </c>
      <c r="B19" s="33" t="s">
        <v>120</v>
      </c>
      <c r="C19" s="32" t="s">
        <v>0</v>
      </c>
      <c r="D19" s="32">
        <v>0.05</v>
      </c>
      <c r="E19" s="32" t="s">
        <v>11</v>
      </c>
    </row>
    <row r="20" spans="1:5" x14ac:dyDescent="0.35">
      <c r="A20" s="4">
        <v>19</v>
      </c>
      <c r="B20" s="5" t="s">
        <v>121</v>
      </c>
      <c r="C20" s="4" t="s">
        <v>0</v>
      </c>
      <c r="D20" s="4">
        <v>200</v>
      </c>
      <c r="E20" s="4">
        <v>600</v>
      </c>
    </row>
    <row r="21" spans="1:5" x14ac:dyDescent="0.35">
      <c r="A21" s="4">
        <v>20</v>
      </c>
      <c r="B21" s="5" t="s">
        <v>122</v>
      </c>
      <c r="C21" s="4" t="s">
        <v>0</v>
      </c>
      <c r="D21" s="4">
        <v>200</v>
      </c>
      <c r="E21" s="4">
        <v>600</v>
      </c>
    </row>
    <row r="22" spans="1:5" x14ac:dyDescent="0.35">
      <c r="A22" s="4">
        <v>21</v>
      </c>
      <c r="B22" s="5" t="s">
        <v>140</v>
      </c>
      <c r="C22" s="4" t="s">
        <v>0</v>
      </c>
      <c r="D22" s="4">
        <v>0.03</v>
      </c>
      <c r="E22" s="4">
        <v>0.2</v>
      </c>
    </row>
    <row r="23" spans="1:5" x14ac:dyDescent="0.35">
      <c r="A23" s="4">
        <v>22</v>
      </c>
      <c r="B23" s="5" t="s">
        <v>123</v>
      </c>
      <c r="C23" s="4" t="s">
        <v>0</v>
      </c>
      <c r="D23" s="4">
        <v>0.7</v>
      </c>
      <c r="E23" s="4" t="s">
        <v>11</v>
      </c>
    </row>
    <row r="24" spans="1:5" x14ac:dyDescent="0.35">
      <c r="A24" s="4">
        <v>23</v>
      </c>
      <c r="B24" s="5" t="s">
        <v>124</v>
      </c>
      <c r="C24" s="4" t="s">
        <v>0</v>
      </c>
      <c r="D24" s="4">
        <v>0.5</v>
      </c>
      <c r="E24" s="4">
        <v>1</v>
      </c>
    </row>
    <row r="25" spans="1:5" x14ac:dyDescent="0.35">
      <c r="A25" s="4">
        <v>24</v>
      </c>
      <c r="B25" s="5" t="s">
        <v>125</v>
      </c>
      <c r="C25" s="4" t="s">
        <v>0</v>
      </c>
      <c r="D25" s="4">
        <v>0.05</v>
      </c>
      <c r="E25" s="4">
        <v>1.5</v>
      </c>
    </row>
    <row r="26" spans="1:5" x14ac:dyDescent="0.35">
      <c r="A26" s="4">
        <v>25</v>
      </c>
      <c r="B26" s="5" t="s">
        <v>126</v>
      </c>
      <c r="C26" s="4" t="s">
        <v>0</v>
      </c>
      <c r="D26" s="4">
        <v>1</v>
      </c>
      <c r="E26" s="4" t="s">
        <v>11</v>
      </c>
    </row>
    <row r="27" spans="1:5" x14ac:dyDescent="0.35">
      <c r="A27" s="4">
        <v>26</v>
      </c>
      <c r="B27" s="5" t="s">
        <v>127</v>
      </c>
      <c r="C27" s="4" t="s">
        <v>0</v>
      </c>
      <c r="D27" s="4">
        <v>0.1</v>
      </c>
      <c r="E27" s="4">
        <v>0.3</v>
      </c>
    </row>
    <row r="28" spans="1:5" x14ac:dyDescent="0.35">
      <c r="A28" s="4">
        <v>27</v>
      </c>
      <c r="B28" s="5" t="s">
        <v>128</v>
      </c>
      <c r="C28" s="4" t="s">
        <v>0</v>
      </c>
      <c r="D28" s="4">
        <v>0.01</v>
      </c>
      <c r="E28" s="4" t="s">
        <v>11</v>
      </c>
    </row>
    <row r="29" spans="1:5" x14ac:dyDescent="0.35">
      <c r="A29" s="4">
        <v>28</v>
      </c>
      <c r="B29" s="5" t="s">
        <v>129</v>
      </c>
      <c r="C29" s="4" t="s">
        <v>0</v>
      </c>
      <c r="D29" s="4">
        <v>0.1</v>
      </c>
      <c r="E29" s="4" t="s">
        <v>11</v>
      </c>
    </row>
    <row r="30" spans="1:5" x14ac:dyDescent="0.35">
      <c r="A30" s="4">
        <v>29</v>
      </c>
      <c r="B30" s="5" t="s">
        <v>130</v>
      </c>
      <c r="C30" s="4" t="s">
        <v>0</v>
      </c>
      <c r="D30" s="4">
        <v>5</v>
      </c>
      <c r="E30" s="4">
        <v>15</v>
      </c>
    </row>
    <row r="31" spans="1:5" x14ac:dyDescent="0.35">
      <c r="A31" s="4">
        <v>30</v>
      </c>
      <c r="B31" s="5" t="s">
        <v>1</v>
      </c>
      <c r="C31" s="4" t="s">
        <v>0</v>
      </c>
      <c r="D31" s="4">
        <v>0.03</v>
      </c>
      <c r="E31" s="4" t="s">
        <v>11</v>
      </c>
    </row>
    <row r="32" spans="1:5" x14ac:dyDescent="0.35">
      <c r="A32" s="4">
        <v>31</v>
      </c>
      <c r="B32" s="5" t="s">
        <v>131</v>
      </c>
      <c r="C32" s="4" t="s">
        <v>0</v>
      </c>
      <c r="D32" s="4">
        <v>0.05</v>
      </c>
      <c r="E32" s="4" t="s">
        <v>11</v>
      </c>
    </row>
    <row r="33" spans="1:5" x14ac:dyDescent="0.35">
      <c r="A33" s="4">
        <v>32</v>
      </c>
      <c r="B33" s="5" t="s">
        <v>132</v>
      </c>
      <c r="C33" s="4" t="s">
        <v>0</v>
      </c>
      <c r="D33" s="4">
        <v>3.0000000000000001E-3</v>
      </c>
      <c r="E33" s="4" t="s">
        <v>11</v>
      </c>
    </row>
    <row r="34" spans="1:5" x14ac:dyDescent="0.35">
      <c r="A34" s="4">
        <v>33</v>
      </c>
      <c r="B34" s="5" t="s">
        <v>133</v>
      </c>
      <c r="C34" s="4" t="s">
        <v>0</v>
      </c>
      <c r="D34" s="4">
        <v>0.01</v>
      </c>
      <c r="E34" s="4" t="s">
        <v>11</v>
      </c>
    </row>
    <row r="35" spans="1:5" x14ac:dyDescent="0.35">
      <c r="A35" s="4">
        <v>34</v>
      </c>
      <c r="B35" s="5" t="s">
        <v>134</v>
      </c>
      <c r="C35" s="4" t="s">
        <v>0</v>
      </c>
      <c r="D35" s="4">
        <v>1E-3</v>
      </c>
      <c r="E35" s="4" t="s">
        <v>11</v>
      </c>
    </row>
    <row r="36" spans="1:5" x14ac:dyDescent="0.35">
      <c r="A36" s="4">
        <v>35</v>
      </c>
      <c r="B36" s="5" t="s">
        <v>135</v>
      </c>
      <c r="C36" s="4" t="s">
        <v>0</v>
      </c>
      <c r="D36" s="4">
        <v>7.0000000000000007E-2</v>
      </c>
      <c r="E36" s="4" t="s">
        <v>11</v>
      </c>
    </row>
    <row r="37" spans="1:5" x14ac:dyDescent="0.35">
      <c r="A37" s="4">
        <v>36</v>
      </c>
      <c r="B37" s="5" t="s">
        <v>136</v>
      </c>
      <c r="C37" s="4" t="s">
        <v>0</v>
      </c>
      <c r="D37" s="4">
        <v>0.02</v>
      </c>
      <c r="E37" s="4" t="s">
        <v>11</v>
      </c>
    </row>
    <row r="38" spans="1:5" x14ac:dyDescent="0.35">
      <c r="A38" s="4">
        <v>37</v>
      </c>
      <c r="B38" s="5" t="s">
        <v>137</v>
      </c>
      <c r="C38" s="4" t="s">
        <v>0</v>
      </c>
      <c r="D38" s="4">
        <v>0.01</v>
      </c>
      <c r="E38" s="4">
        <v>0.05</v>
      </c>
    </row>
    <row r="39" spans="1:5" x14ac:dyDescent="0.35">
      <c r="A39" s="4">
        <v>38</v>
      </c>
      <c r="B39" s="5" t="s">
        <v>138</v>
      </c>
      <c r="C39" s="4" t="s">
        <v>0</v>
      </c>
      <c r="D39" s="4">
        <v>0.05</v>
      </c>
      <c r="E39" s="4" t="s">
        <v>11</v>
      </c>
    </row>
    <row r="40" spans="1:5" s="34" customFormat="1" x14ac:dyDescent="0.35">
      <c r="A40" s="32">
        <v>39</v>
      </c>
      <c r="B40" s="33" t="s">
        <v>20</v>
      </c>
      <c r="C40" s="32" t="s">
        <v>21</v>
      </c>
      <c r="D40" s="32" t="s">
        <v>2</v>
      </c>
      <c r="E40" s="32" t="s">
        <v>2</v>
      </c>
    </row>
    <row r="41" spans="1:5" s="34" customFormat="1" x14ac:dyDescent="0.35">
      <c r="A41" s="32">
        <v>40</v>
      </c>
      <c r="B41" s="33" t="s">
        <v>22</v>
      </c>
      <c r="C41" s="32" t="s">
        <v>21</v>
      </c>
      <c r="D41" s="32" t="s">
        <v>2</v>
      </c>
      <c r="E41" s="32" t="s">
        <v>2</v>
      </c>
    </row>
  </sheetData>
  <phoneticPr fontId="1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ffa5be-124e-408c-a2cd-151d7b5180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B487A53B6DF7459EDBD23139BB30C3" ma:contentTypeVersion="6" ma:contentTypeDescription="Create a new document." ma:contentTypeScope="" ma:versionID="b6f49143870027d824ca64501c3f6f37">
  <xsd:schema xmlns:xsd="http://www.w3.org/2001/XMLSchema" xmlns:xs="http://www.w3.org/2001/XMLSchema" xmlns:p="http://schemas.microsoft.com/office/2006/metadata/properties" xmlns:ns3="63ffa5be-124e-408c-a2cd-151d7b51803f" targetNamespace="http://schemas.microsoft.com/office/2006/metadata/properties" ma:root="true" ma:fieldsID="3fc6d7d98535a4972c467ecbb54aaf1c" ns3:_="">
    <xsd:import namespace="63ffa5be-124e-408c-a2cd-151d7b5180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fa5be-124e-408c-a2cd-151d7b518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71D9E-063A-42B9-A4C2-2359CD6FE6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D75C2A-86CD-4221-8E3C-3A2F5A1E3549}">
  <ds:schemaRefs>
    <ds:schemaRef ds:uri="http://purl.org/dc/terms/"/>
    <ds:schemaRef ds:uri="http://purl.org/dc/elements/1.1/"/>
    <ds:schemaRef ds:uri="63ffa5be-124e-408c-a2cd-151d7b51803f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445EF12-8AA7-4E17-9546-ECAB3BC0E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fa5be-124e-408c-a2cd-151d7b5180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2026-01-02T10:49:31Z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0x01010073B487A53B6DF7459EDBD23139BB30C3</vt:lpwstr>
  </property>
</Properties>
</file>